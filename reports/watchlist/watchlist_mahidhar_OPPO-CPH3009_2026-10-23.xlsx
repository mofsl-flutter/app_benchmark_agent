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Scorecard" sheetId="3" state="visible" r:id="rId3"/>
    <sheet xmlns:r="http://schemas.openxmlformats.org/officeDocument/2006/relationships" name="Metric Catalogue" sheetId="4" state="visible" r:id="rId4"/>
    <sheet xmlns:r="http://schemas.openxmlformats.org/officeDocument/2006/relationships" name="Test Setup" sheetId="5" state="visible" r:id="rId5"/>
    <sheet xmlns:r="http://schemas.openxmlformats.org/officeDocument/2006/relationships" name="1 Load &amp; Network" sheetId="6" state="visible" r:id="rId6"/>
    <sheet xmlns:r="http://schemas.openxmlformats.org/officeDocument/2006/relationships" name="2 Scroll FPS" sheetId="7" state="visible" r:id="rId7"/>
    <sheet xmlns:r="http://schemas.openxmlformats.org/officeDocument/2006/relationships" name="3 Screen Updates" sheetId="8" state="visible" r:id="rId8"/>
    <sheet xmlns:r="http://schemas.openxmlformats.org/officeDocument/2006/relationships" name="4 Offline" sheetId="9" state="visible" r:id="rId9"/>
    <sheet xmlns:r="http://schemas.openxmlformats.org/officeDocument/2006/relationships" name="5 Data Pointers" sheetId="10" state="visible" r:id="rId10"/>
    <sheet xmlns:r="http://schemas.openxmlformats.org/officeDocument/2006/relationships" name="6 SDKs" sheetId="11" state="visible" r:id="rId11"/>
    <sheet xmlns:r="http://schemas.openxmlformats.org/officeDocument/2006/relationships" name="7 RAM &amp; Storage" sheetId="12" state="visible" r:id="rId12"/>
    <sheet xmlns:r="http://schemas.openxmlformats.org/officeDocument/2006/relationships" name="8 CPU Battery Data" sheetId="13" state="visible" r:id="rId13"/>
    <sheet xmlns:r="http://schemas.openxmlformats.org/officeDocument/2006/relationships" name="9 App Info &amp; Stability" sheetId="14" state="visible" r:id="rId14"/>
  </sheets>
  <definedNames>
    <definedName name="_xlnm._FilterDatabase" localSheetId="1" hidden="1">'Summary'!$A$6:$P$56</definedName>
    <definedName name="_xlnm._FilterDatabase" localSheetId="5" hidden="1">'1 Load &amp; Network'!$A$4:$P$109</definedName>
    <definedName name="_xlnm._FilterDatabase" localSheetId="6" hidden="1">'2 Scroll FPS'!$A$4:$P$53</definedName>
    <definedName name="_xlnm._FilterDatabase" localSheetId="7" hidden="1">'3 Screen Updates'!$A$4:$P$39</definedName>
    <definedName name="_xlnm._FilterDatabase" localSheetId="11" hidden="1">'7 RAM &amp; Storage'!$A$4:$P$67</definedName>
    <definedName name="_xlnm._FilterDatabase" localSheetId="12" hidden="1">'8 CPU Battery Data'!$A$4:$P$32</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dd-mmm-yyyy"/>
  </numFmts>
  <fonts count="12">
    <font>
      <name val="Calibri"/>
      <family val="2"/>
      <color theme="1"/>
      <sz val="11"/>
      <scheme val="minor"/>
    </font>
    <font>
      <name val="Arial"/>
      <b val="1"/>
      <color rgb="001F3864"/>
      <sz val="16"/>
    </font>
    <font>
      <name val="Arial"/>
      <i val="1"/>
      <color rgb="00595959"/>
      <sz val="10"/>
    </font>
    <font>
      <name val="Arial"/>
      <b val="1"/>
      <color rgb="00FFFFFF"/>
      <sz val="10"/>
    </font>
    <font>
      <name val="Arial"/>
      <sz val="10"/>
    </font>
    <font>
      <name val="Arial"/>
      <b val="1"/>
      <color rgb="001F3864"/>
      <sz val="11"/>
    </font>
    <font>
      <name val="Arial"/>
      <b val="1"/>
      <sz val="10"/>
    </font>
    <font>
      <name val="Arial"/>
      <color rgb="000000FF"/>
      <sz val="10"/>
    </font>
    <font>
      <name val="Arial"/>
      <color rgb="00808080"/>
      <sz val="8"/>
    </font>
    <font>
      <name val="Arial"/>
      <color rgb="00008000"/>
      <sz val="10"/>
    </font>
    <font>
      <name val="Arial"/>
      <b val="1"/>
      <color rgb="00008000"/>
      <sz val="10"/>
    </font>
    <font>
      <name val="Arial"/>
      <b val="1"/>
      <color rgb="00808080"/>
      <sz val="8"/>
    </font>
  </fonts>
  <fills count="8">
    <fill>
      <patternFill/>
    </fill>
    <fill>
      <patternFill patternType="gray125"/>
    </fill>
    <fill>
      <patternFill patternType="solid">
        <fgColor rgb="001F3864"/>
      </patternFill>
    </fill>
    <fill>
      <patternFill patternType="solid">
        <fgColor rgb="00FFF2CC"/>
      </patternFill>
    </fill>
    <fill>
      <patternFill patternType="solid">
        <fgColor rgb="00DDEBF7"/>
      </patternFill>
    </fill>
    <fill>
      <patternFill patternType="solid">
        <fgColor rgb="00F2F2F2"/>
      </patternFill>
    </fill>
    <fill>
      <patternFill patternType="solid">
        <fgColor rgb="002E75B6"/>
      </patternFill>
    </fill>
    <fill>
      <patternFill patternType="solid">
        <fgColor rgb="00F8CBAD"/>
      </patternFill>
    </fill>
  </fills>
  <borders count="3">
    <border>
      <left/>
      <right/>
      <top/>
      <bottom/>
      <diagonal/>
    </border>
    <border>
      <left style="thin">
        <color rgb="00BFBFBF"/>
      </left>
      <right style="thin">
        <color rgb="00BFBFBF"/>
      </right>
      <top style="thin">
        <color rgb="00BFBFBF"/>
      </top>
      <bottom style="thin">
        <color rgb="00BFBFBF"/>
      </bottom>
    </border>
    <border/>
  </borders>
  <cellStyleXfs count="1">
    <xf numFmtId="0" fontId="0" fillId="0" borderId="0"/>
  </cellStyleXfs>
  <cellXfs count="69">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4" fillId="0" borderId="0" pivotButton="0" quotePrefix="0" xfId="0"/>
    <xf numFmtId="0" fontId="7" fillId="3" borderId="1" pivotButton="0" quotePrefix="0" xfId="0"/>
    <xf numFmtId="0" fontId="4" fillId="0" borderId="1" pivotButton="0" quotePrefix="0" xfId="0"/>
    <xf numFmtId="0" fontId="9" fillId="0" borderId="1" pivotButton="0" quotePrefix="0" xfId="0"/>
    <xf numFmtId="0" fontId="4" fillId="4" borderId="1" pivotButton="0" quotePrefix="0" xfId="0"/>
    <xf numFmtId="0" fontId="4" fillId="7" borderId="1"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6" fillId="0" borderId="0" pivotButton="0" quotePrefix="0" xfId="0"/>
    <xf numFmtId="0" fontId="5" fillId="0" borderId="1" pivotButton="0" quotePrefix="0" xfId="0"/>
    <xf numFmtId="0" fontId="6" fillId="0" borderId="2" pivotButton="0" quotePrefix="0" xfId="0"/>
    <xf numFmtId="164" fontId="6" fillId="0" borderId="2" pivotButton="0" quotePrefix="0" xfId="0"/>
    <xf numFmtId="0" fontId="3" fillId="6" borderId="1" applyAlignment="1" pivotButton="0" quotePrefix="0" xfId="0">
      <alignment horizontal="center" vertical="center" wrapText="1"/>
    </xf>
    <xf numFmtId="0" fontId="9" fillId="0" borderId="1" applyAlignment="1" pivotButton="0" quotePrefix="0" xfId="0">
      <alignment vertical="top" wrapText="1"/>
    </xf>
    <xf numFmtId="165" fontId="10" fillId="0" borderId="1" applyAlignment="1" pivotButton="0" quotePrefix="0" xfId="0">
      <alignment horizontal="center"/>
    </xf>
    <xf numFmtId="165" fontId="9" fillId="0" borderId="1" applyAlignment="1" pivotButton="0" quotePrefix="0" xfId="0">
      <alignment horizontal="center"/>
    </xf>
    <xf numFmtId="0" fontId="6" fillId="0" borderId="1" applyAlignment="1" pivotButton="0" quotePrefix="0" xfId="0">
      <alignment horizontal="center"/>
    </xf>
    <xf numFmtId="0" fontId="4" fillId="0" borderId="1" applyAlignment="1" pivotButton="0" quotePrefix="0" xfId="0">
      <alignment horizontal="center"/>
    </xf>
    <xf numFmtId="9" fontId="4" fillId="0" borderId="1" applyAlignment="1" pivotButton="0" quotePrefix="0" xfId="0">
      <alignment horizontal="center"/>
    </xf>
    <xf numFmtId="0" fontId="9" fillId="5" borderId="1" pivotButton="0" quotePrefix="0" xfId="0"/>
    <xf numFmtId="0" fontId="9" fillId="5" borderId="1" applyAlignment="1" pivotButton="0" quotePrefix="0" xfId="0">
      <alignment vertical="top" wrapText="1"/>
    </xf>
    <xf numFmtId="9" fontId="10" fillId="0" borderId="1" applyAlignment="1" pivotButton="0" quotePrefix="0" xfId="0">
      <alignment horizontal="center"/>
    </xf>
    <xf numFmtId="9" fontId="9" fillId="0" borderId="1" applyAlignment="1" pivotButton="0" quotePrefix="0" xfId="0">
      <alignment horizontal="center"/>
    </xf>
    <xf numFmtId="0" fontId="6" fillId="0" borderId="1" pivotButton="0" quotePrefix="0" xfId="0"/>
    <xf numFmtId="164" fontId="4" fillId="0" borderId="1" applyAlignment="1" pivotButton="0" quotePrefix="0" xfId="0">
      <alignment horizontal="center"/>
    </xf>
    <xf numFmtId="0" fontId="11" fillId="0" borderId="0" pivotButton="0" quotePrefix="0" xfId="0"/>
    <xf numFmtId="1" fontId="4" fillId="0" borderId="1" pivotButton="0" quotePrefix="0" xfId="0"/>
    <xf numFmtId="1" fontId="4" fillId="4" borderId="1" applyAlignment="1" pivotButton="0" quotePrefix="0" xfId="0">
      <alignment horizontal="center"/>
    </xf>
    <xf numFmtId="1" fontId="4" fillId="0" borderId="1" applyAlignment="1" pivotButton="0" quotePrefix="0" xfId="0">
      <alignment horizontal="center"/>
    </xf>
    <xf numFmtId="0" fontId="8" fillId="0" borderId="0" pivotButton="0" quotePrefix="0" xfId="0"/>
    <xf numFmtId="1" fontId="6" fillId="0" borderId="1" pivotButton="0" quotePrefix="0" xfId="0"/>
    <xf numFmtId="164" fontId="6" fillId="4" borderId="1" applyAlignment="1" pivotButton="0" quotePrefix="0" xfId="0">
      <alignment horizontal="center"/>
    </xf>
    <xf numFmtId="164" fontId="6" fillId="0" borderId="1" applyAlignment="1" pivotButton="0" quotePrefix="0" xfId="0">
      <alignment horizontal="center"/>
    </xf>
    <xf numFmtId="9" fontId="4" fillId="4" borderId="1" applyAlignment="1" pivotButton="0" quotePrefix="0" xfId="0">
      <alignment horizontal="center"/>
    </xf>
    <xf numFmtId="1" fontId="6" fillId="4" borderId="1" applyAlignment="1" pivotButton="0" quotePrefix="0" xfId="0">
      <alignment horizontal="center"/>
    </xf>
    <xf numFmtId="1" fontId="6" fillId="0" borderId="1" applyAlignment="1" pivotButton="0" quotePrefix="0" xfId="0">
      <alignment horizontal="center"/>
    </xf>
    <xf numFmtId="164" fontId="8" fillId="0" borderId="0" pivotButton="0" quotePrefix="0" xfId="0"/>
    <xf numFmtId="0" fontId="8" fillId="0" borderId="1" pivotButton="0" quotePrefix="0" xfId="0"/>
    <xf numFmtId="165" fontId="7" fillId="3" borderId="1" pivotButton="0" quotePrefix="0" xfId="0"/>
    <xf numFmtId="165" fontId="6" fillId="0" borderId="1" pivotButton="0" quotePrefix="0" xfId="0"/>
    <xf numFmtId="165" fontId="4" fillId="0" borderId="1" pivotButton="0" quotePrefix="0" xfId="0"/>
    <xf numFmtId="9" fontId="4" fillId="0" borderId="1" pivotButton="0" quotePrefix="0" xfId="0"/>
    <xf numFmtId="0" fontId="4" fillId="5" borderId="1" pivotButton="0" quotePrefix="0" xfId="0"/>
    <xf numFmtId="0" fontId="7" fillId="3" borderId="1" applyAlignment="1" pivotButton="0" quotePrefix="0" xfId="0">
      <alignment horizontal="center" vertical="center" wrapText="1"/>
    </xf>
    <xf numFmtId="9" fontId="6" fillId="0" borderId="1" applyAlignment="1" pivotButton="0" quotePrefix="0" xfId="0">
      <alignment horizontal="center" vertical="center" wrapText="1"/>
    </xf>
    <xf numFmtId="0" fontId="7" fillId="3" borderId="1" applyAlignment="1" pivotButton="0" quotePrefix="0" xfId="0">
      <alignment vertical="top" wrapText="1"/>
    </xf>
    <xf numFmtId="0" fontId="6" fillId="4" borderId="1" pivotButton="0" quotePrefix="0" xfId="0"/>
    <xf numFmtId="3" fontId="7" fillId="3" borderId="1" applyAlignment="1" pivotButton="0" quotePrefix="0" xfId="0">
      <alignment vertical="top" wrapText="1"/>
    </xf>
    <xf numFmtId="166" fontId="7" fillId="3" borderId="1" applyAlignment="1" pivotButton="0" quotePrefix="0" xfId="0">
      <alignment vertical="top" wrapText="1"/>
    </xf>
    <xf numFmtId="164" fontId="7" fillId="3" borderId="1" applyAlignment="1" pivotButton="0" quotePrefix="0" xfId="0">
      <alignment vertical="top" wrapText="1"/>
    </xf>
    <xf numFmtId="165" fontId="7" fillId="3" borderId="1" applyAlignment="1" pivotButton="0" quotePrefix="0" xfId="0">
      <alignment vertical="top" wrapText="1"/>
    </xf>
    <xf numFmtId="1" fontId="7" fillId="3" borderId="1" applyAlignment="1" pivotButton="0" quotePrefix="0" xfId="0">
      <alignment vertical="top" wrapText="1"/>
    </xf>
    <xf numFmtId="164" fontId="6" fillId="0" borderId="2" pivotButton="0" quotePrefix="0" xfId="0"/>
    <xf numFmtId="165" fontId="10" fillId="0" borderId="1" applyAlignment="1" pivotButton="0" quotePrefix="0" xfId="0">
      <alignment horizontal="center"/>
    </xf>
    <xf numFmtId="165" fontId="9" fillId="0" borderId="1" applyAlignment="1" pivotButton="0" quotePrefix="0" xfId="0">
      <alignment horizontal="center"/>
    </xf>
    <xf numFmtId="164" fontId="4" fillId="0" borderId="1" applyAlignment="1" pivotButton="0" quotePrefix="0" xfId="0">
      <alignment horizontal="center"/>
    </xf>
    <xf numFmtId="164" fontId="6" fillId="4" borderId="1" applyAlignment="1" pivotButton="0" quotePrefix="0" xfId="0">
      <alignment horizontal="center"/>
    </xf>
    <xf numFmtId="164" fontId="6" fillId="0" borderId="1" applyAlignment="1" pivotButton="0" quotePrefix="0" xfId="0">
      <alignment horizontal="center"/>
    </xf>
    <xf numFmtId="164" fontId="8" fillId="0" borderId="0" pivotButton="0" quotePrefix="0" xfId="0"/>
    <xf numFmtId="165" fontId="7" fillId="3" borderId="1" pivotButton="0" quotePrefix="0" xfId="0"/>
    <xf numFmtId="165" fontId="6" fillId="0" borderId="1" pivotButton="0" quotePrefix="0" xfId="0"/>
    <xf numFmtId="165" fontId="4" fillId="0" borderId="1" pivotButton="0" quotePrefix="0" xfId="0"/>
    <xf numFmtId="166" fontId="7" fillId="3" borderId="1" applyAlignment="1" pivotButton="0" quotePrefix="0" xfId="0">
      <alignment vertical="top" wrapText="1"/>
    </xf>
    <xf numFmtId="164" fontId="7" fillId="3" borderId="1" applyAlignment="1" pivotButton="0" quotePrefix="0" xfId="0">
      <alignment vertical="top" wrapText="1"/>
    </xf>
    <xf numFmtId="165" fontId="7" fillId="3" borderId="1" applyAlignment="1" pivotButton="0" quotePrefix="0" xfId="0">
      <alignment vertical="top" wrapText="1"/>
    </xf>
  </cellXfs>
  <cellStyles count="1">
    <cellStyle name="Normal" xfId="0" builtinId="0" hidden="0"/>
  </cellStyles>
  <dxfs count="7">
    <dxf>
      <fill>
        <patternFill patternType="solid">
          <fgColor rgb="00C6EFCE"/>
        </patternFill>
      </fill>
    </dxf>
    <dxf>
      <font>
        <name val="Arial"/>
        <b val="1"/>
        <color rgb="00C00000"/>
      </font>
    </dxf>
    <dxf>
      <font>
        <name val="Arial"/>
        <b val="1"/>
        <color rgb="001F3864"/>
      </font>
      <fill>
        <patternFill patternType="solid">
          <fgColor rgb="00DDEBF7"/>
        </patternFill>
      </fill>
    </dxf>
    <dxf>
      <font>
        <name val="Arial"/>
        <b val="1"/>
        <color rgb="009C0006"/>
      </font>
      <fill>
        <patternFill patternType="solid">
          <fgColor rgb="00F8CBAD"/>
        </patternFill>
      </fill>
    </dxf>
    <dxf>
      <font>
        <name val="Arial"/>
        <color rgb="009C0006"/>
      </font>
      <fill>
        <patternFill patternType="solid">
          <fgColor rgb="00F8CBAD"/>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Overall score (0–100)</a:t>
            </a:r>
          </a:p>
        </rich>
      </tx>
    </title>
    <plotArea>
      <barChart>
        <barDir val="bar"/>
        <grouping val="clustered"/>
        <ser>
          <idx val="0"/>
          <order val="0"/>
          <spPr>
            <a:ln xmlns:a="http://schemas.openxmlformats.org/drawingml/2006/main">
              <a:prstDash val="solid"/>
            </a:ln>
          </spPr>
          <cat>
            <numRef>
              <f>'Scorecard'!$B$6:$B$12</f>
            </numRef>
          </cat>
          <val>
            <numRef>
              <f>'Scorecard'!$C$6:$C$12</f>
            </numRef>
          </val>
        </ser>
        <gapWidth val="150"/>
        <axId val="10"/>
        <axId val="100"/>
      </barChart>
      <catAx>
        <axId val="10"/>
        <scaling>
          <orientation val="maxMin"/>
        </scaling>
        <axPos val="l"/>
        <majorTickMark val="none"/>
        <minorTickMark val="none"/>
        <crossAx val="100"/>
        <lblOffset val="100"/>
      </catAx>
      <valAx>
        <axId val="100"/>
        <scaling>
          <orientation val="minMax"/>
          <max val="100"/>
          <min val="0"/>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3</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808080"/>
    <outlinePr summaryBelow="1" summaryRight="1"/>
    <pageSetUpPr/>
  </sheetPr>
  <dimension ref="A1:D28"/>
  <sheetViews>
    <sheetView showGridLines="0" workbookViewId="0">
      <selection activeCell="A1" sqref="A1"/>
    </sheetView>
  </sheetViews>
  <sheetFormatPr baseColWidth="8" defaultRowHeight="15"/>
  <cols>
    <col width="34" customWidth="1" min="1" max="1"/>
    <col width="40" customWidth="1" min="2" max="2"/>
    <col width="44" customWidth="1" min="3" max="3"/>
    <col width="34" customWidth="1" min="4" max="4"/>
  </cols>
  <sheetData>
    <row r="1">
      <c r="A1" s="1" t="inlineStr">
        <is>
          <t>RISE vs Competitors — Watchlist Performance Benchmark</t>
        </is>
      </c>
    </row>
    <row r="2">
      <c r="A2" s="2" t="inlineStr">
        <is>
          <t>Module Watchlist on OPPO CPH3009. Generated by build_report.py from runs.csv; do not edit by hand.</t>
        </is>
      </c>
    </row>
    <row r="4">
      <c r="A4" s="3" t="inlineStr">
        <is>
          <t>How to read this workbook</t>
        </is>
      </c>
    </row>
    <row r="5">
      <c r="A5" s="4" t="inlineStr">
        <is>
          <t>1. 'Test Setup' shows the phone, network and accounts, from env.csv.</t>
        </is>
      </c>
    </row>
    <row r="6">
      <c r="A6" s="4" t="inlineStr">
        <is>
          <t>2. 'Metric Catalogue' lists every metric, the tool, and the exact method (same text as METRICS.md).</t>
        </is>
      </c>
    </row>
    <row r="7">
      <c r="A7" s="4" t="inlineStr">
        <is>
          <t>3. Data tabs (1–9) hold every run next to its median, so any figure can be traced to runs.csv and its artifact.</t>
        </is>
      </c>
    </row>
    <row r="8">
      <c r="A8" s="4" t="inlineStr">
        <is>
          <t>4. 'Summary' shows medians per app, the best app, RISE's rank and gap per metric.</t>
        </is>
      </c>
    </row>
    <row r="9">
      <c r="A9" s="4" t="inlineStr">
        <is>
          <t>5. 'Scorecard' turns everything into one 0–100 score per app and ranks them. Weights come from weights.json.</t>
        </is>
      </c>
    </row>
    <row r="10">
      <c r="A10" s="4" t="inlineStr">
        <is>
          <t>6. Blank cells are metrics not yet measured. Metrics that do not apply to this module are left out (see METRICS.md).</t>
        </is>
      </c>
    </row>
    <row r="12">
      <c r="A12" s="3" t="inlineStr">
        <is>
          <t>Legend</t>
        </is>
      </c>
    </row>
    <row r="13">
      <c r="A13" s="5" t="inlineStr">
        <is>
          <t>Yellow cell, blue text</t>
        </is>
      </c>
      <c r="B13" s="4" t="inlineStr">
        <is>
          <t>Value from runs.csv / env.csv</t>
        </is>
      </c>
    </row>
    <row r="14">
      <c r="A14" s="6" t="inlineStr">
        <is>
          <t>Black text</t>
        </is>
      </c>
      <c r="B14" s="4" t="inlineStr">
        <is>
          <t>Formula</t>
        </is>
      </c>
    </row>
    <row r="15">
      <c r="A15" s="7" t="inlineStr">
        <is>
          <t>Green text</t>
        </is>
      </c>
      <c r="B15" s="4" t="inlineStr">
        <is>
          <t>Pulled from another tab</t>
        </is>
      </c>
    </row>
    <row r="16">
      <c r="A16" s="8" t="inlineStr">
        <is>
          <t>Blue rows / column</t>
        </is>
      </c>
      <c r="B16" s="4" t="inlineStr">
        <is>
          <t>RISE (our app)</t>
        </is>
      </c>
    </row>
    <row r="17">
      <c r="A17" s="9" t="inlineStr">
        <is>
          <t>Red Variation</t>
        </is>
      </c>
      <c r="B17" s="4" t="inlineStr">
        <is>
          <t>Runs differ by more than 20%: redo that row</t>
        </is>
      </c>
    </row>
    <row r="19">
      <c r="A19" s="3" t="inlineStr">
        <is>
          <t>Tools</t>
        </is>
      </c>
    </row>
    <row r="20" ht="32" customHeight="1">
      <c r="A20" s="10" t="inlineStr">
        <is>
          <t>Tool</t>
        </is>
      </c>
      <c r="B20" s="10" t="inlineStr">
        <is>
          <t>Runs on</t>
        </is>
      </c>
      <c r="C20" s="10" t="inlineStr">
        <is>
          <t>Used for</t>
        </is>
      </c>
      <c r="D20" s="10" t="inlineStr">
        <is>
          <t>Get it</t>
        </is>
      </c>
    </row>
    <row r="21">
      <c r="A21" s="11" t="inlineStr">
        <is>
          <t>ADB (Android Platform Tools)</t>
        </is>
      </c>
      <c r="B21" s="11" t="inlineStr">
        <is>
          <t>Mac</t>
        </is>
      </c>
      <c r="C21" s="11" t="inlineStr">
        <is>
          <t>Launch time, lock contention, RAM, bytes, CPU, battery, crashes</t>
        </is>
      </c>
      <c r="D21" s="11" t="inlineStr">
        <is>
          <t>brew install android-platform-tools</t>
        </is>
      </c>
    </row>
    <row r="22">
      <c r="A22" s="11" t="inlineStr">
        <is>
          <t>scrcpy</t>
        </is>
      </c>
      <c r="B22" s="11" t="inlineStr">
        <is>
          <t>Mac</t>
        </is>
      </c>
      <c r="C22" s="11" t="inlineStr">
        <is>
          <t>Screen recording to count frames for screen-load and tick timings</t>
        </is>
      </c>
      <c r="D22" s="11" t="inlineStr">
        <is>
          <t>brew install scrcpy</t>
        </is>
      </c>
    </row>
    <row r="23">
      <c r="A23" s="11" t="inlineStr">
        <is>
          <t>ffmpeg</t>
        </is>
      </c>
      <c r="B23" s="11" t="inlineStr">
        <is>
          <t>Mac</t>
        </is>
      </c>
      <c r="C23" s="11" t="inlineStr">
        <is>
          <t>Wasted-redraw analysis of idle recordings (U5)</t>
        </is>
      </c>
      <c r="D23" s="11" t="inlineStr">
        <is>
          <t>brew install ffmpeg</t>
        </is>
      </c>
    </row>
    <row r="24">
      <c r="A24" s="11" t="inlineStr">
        <is>
          <t>Perfetto (Python package)</t>
        </is>
      </c>
      <c r="B24" s="11" t="inlineStr">
        <is>
          <t>Mac</t>
        </is>
      </c>
      <c r="C24" s="11" t="inlineStr">
        <is>
          <t>Reads the frame traces bench.py records</t>
        </is>
      </c>
      <c r="D24" s="11" t="inlineStr">
        <is>
          <t>pip3 install --user perfetto</t>
        </is>
      </c>
    </row>
    <row r="25">
      <c r="A25" s="11" t="inlineStr">
        <is>
          <t>bench.py / record.py / preflight.py</t>
        </is>
      </c>
      <c r="B25" s="11" t="inlineStr">
        <is>
          <t>Mac</t>
        </is>
      </c>
      <c r="C25" s="11" t="inlineStr">
        <is>
          <t>Automates the measured metrics and records the manual ones</t>
        </is>
      </c>
      <c r="D25" s="11" t="inlineStr">
        <is>
          <t>In this folder</t>
        </is>
      </c>
    </row>
    <row r="26">
      <c r="A26" s="11" t="inlineStr">
        <is>
          <t>PCAPdroid</t>
        </is>
      </c>
      <c r="B26" s="11" t="inlineStr">
        <is>
          <t>Phone</t>
        </is>
      </c>
      <c r="C26" s="11" t="inlineStr">
        <is>
          <t>Connections and domains per app, without root</t>
        </is>
      </c>
      <c r="D26" s="11" t="inlineStr">
        <is>
          <t>Play Store</t>
        </is>
      </c>
    </row>
    <row r="27">
      <c r="A27" s="11" t="inlineStr">
        <is>
          <t>LibChecker</t>
        </is>
      </c>
      <c r="B27" s="11" t="inlineStr">
        <is>
          <t>Phone</t>
        </is>
      </c>
      <c r="C27" s="11" t="inlineStr">
        <is>
          <t>SDKs, native libraries, framework</t>
        </is>
      </c>
      <c r="D27" s="11" t="inlineStr">
        <is>
          <t>Play Store / F-Droid</t>
        </is>
      </c>
    </row>
    <row r="28">
      <c r="A28" s="11" t="inlineStr">
        <is>
          <t>Exodus Privacy</t>
        </is>
      </c>
      <c r="B28" s="11" t="inlineStr">
        <is>
          <t>Web</t>
        </is>
      </c>
      <c r="C28" s="11" t="inlineStr">
        <is>
          <t>Trackers and permissions in each Play Store APK</t>
        </is>
      </c>
      <c r="D28" s="11" t="inlineStr">
        <is>
          <t>exodus-privacy.eu.org</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P58"/>
  <sheetViews>
    <sheetView showGridLines="0" workbookViewId="0">
      <pane xSplit="5" ySplit="6" topLeftCell="F7"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8" customWidth="1" min="2" max="2"/>
    <col width="44" customWidth="1" min="3" max="3"/>
    <col width="7" customWidth="1" min="4" max="4"/>
    <col width="8"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3" customWidth="1" min="13" max="13"/>
    <col width="10" customWidth="1" min="14" max="14"/>
    <col width="10" customWidth="1" min="15" max="15"/>
    <col width="12" customWidth="1" min="16" max="16"/>
  </cols>
  <sheetData>
    <row r="1">
      <c r="A1" s="1" t="inlineStr">
        <is>
          <t>RISE vs Competitors — Watchlist Performance Benchmark</t>
        </is>
      </c>
    </row>
    <row r="2">
      <c r="A2" s="2" t="inlineStr">
        <is>
          <t>Medians from the data tabs, measured on OPPO CPH3009. Green = best, red = worst in each row. RISE is in the blue column.</t>
        </is>
      </c>
    </row>
    <row r="3">
      <c r="A3" s="12" t="inlineStr">
        <is>
          <t>Device:</t>
        </is>
      </c>
      <c r="C3" s="13" t="inlineStr">
        <is>
          <t>OPPO CPH3009</t>
        </is>
      </c>
      <c r="D3" s="2" t="inlineStr">
        <is>
          <t>← the phone this module was measured on (one per module; see README on comparing across phones)</t>
        </is>
      </c>
    </row>
    <row r="4">
      <c r="A4" s="12" t="inlineStr">
        <is>
          <t>RISE is best in:</t>
        </is>
      </c>
      <c r="C4" s="14">
        <f>COUNTIF(M7:M56,"RISE")&amp;" of "&amp;COUNTIF(O7:O56,"&gt;0")&amp;" metrics measured"</f>
        <v/>
      </c>
      <c r="H4" s="12" t="inlineStr">
        <is>
          <t>Average RISE rank:</t>
        </is>
      </c>
      <c r="J4" s="56">
        <f>IFERROR(AVERAGE(N7:N56),"–")</f>
        <v/>
      </c>
    </row>
    <row r="6" ht="32" customHeight="1">
      <c r="A6" s="10" t="inlineStr">
        <is>
          <t>ID</t>
        </is>
      </c>
      <c r="B6" s="10" t="inlineStr">
        <is>
          <t>Category</t>
        </is>
      </c>
      <c r="C6" s="10" t="inlineStr">
        <is>
          <t>Metric</t>
        </is>
      </c>
      <c r="D6" s="10" t="inlineStr">
        <is>
          <t>Unit</t>
        </is>
      </c>
      <c r="E6" s="10" t="inlineStr">
        <is>
          <t>Better</t>
        </is>
      </c>
      <c r="F6" s="16" t="inlineStr">
        <is>
          <t>RISE</t>
        </is>
      </c>
      <c r="G6" s="10" t="inlineStr">
        <is>
          <t>Kite</t>
        </is>
      </c>
      <c r="H6" s="10" t="inlineStr">
        <is>
          <t>Groww</t>
        </is>
      </c>
      <c r="I6" s="10" t="inlineStr">
        <is>
          <t>Angel One</t>
        </is>
      </c>
      <c r="J6" s="10" t="inlineStr">
        <is>
          <t>INDmoney</t>
        </is>
      </c>
      <c r="K6" s="10" t="inlineStr">
        <is>
          <t>Kotak Neo</t>
        </is>
      </c>
      <c r="L6" s="10" t="inlineStr">
        <is>
          <t>SAHI</t>
        </is>
      </c>
      <c r="M6" s="10" t="inlineStr">
        <is>
          <t>Best app</t>
        </is>
      </c>
      <c r="N6" s="10" t="inlineStr">
        <is>
          <t>RISE rank</t>
        </is>
      </c>
      <c r="O6" s="10" t="inlineStr">
        <is>
          <t>Apps measured</t>
        </is>
      </c>
      <c r="P6" s="10" t="inlineStr">
        <is>
          <t>RISE gap vs best</t>
        </is>
      </c>
    </row>
    <row r="7">
      <c r="A7" s="7">
        <f>'Metric Catalogue'!A5</f>
        <v/>
      </c>
      <c r="B7" s="7">
        <f>'Metric Catalogue'!B5</f>
        <v/>
      </c>
      <c r="C7" s="17">
        <f>'Metric Catalogue'!C5</f>
        <v/>
      </c>
      <c r="D7" s="7">
        <f>'Metric Catalogue'!D5</f>
        <v/>
      </c>
      <c r="E7" s="7">
        <f>'Metric Catalogue'!E5</f>
        <v/>
      </c>
      <c r="F7" s="57">
        <f>IFERROR(INDEX('1 Load &amp; Network'!$L$5:$L$109,MATCH($A7&amp;"|"&amp;F$6&amp;"|"&amp;$C$3,'1 Load &amp; Network'!$F$5:$F$109,0)),"")</f>
        <v/>
      </c>
      <c r="G7" s="58">
        <f>IFERROR(INDEX('1 Load &amp; Network'!$L$5:$L$109,MATCH($A7&amp;"|"&amp;G$6&amp;"|"&amp;$C$3,'1 Load &amp; Network'!$F$5:$F$109,0)),"")</f>
        <v/>
      </c>
      <c r="H7" s="58">
        <f>IFERROR(INDEX('1 Load &amp; Network'!$L$5:$L$109,MATCH($A7&amp;"|"&amp;H$6&amp;"|"&amp;$C$3,'1 Load &amp; Network'!$F$5:$F$109,0)),"")</f>
        <v/>
      </c>
      <c r="I7" s="58">
        <f>IFERROR(INDEX('1 Load &amp; Network'!$L$5:$L$109,MATCH($A7&amp;"|"&amp;I$6&amp;"|"&amp;$C$3,'1 Load &amp; Network'!$F$5:$F$109,0)),"")</f>
        <v/>
      </c>
      <c r="J7" s="58">
        <f>IFERROR(INDEX('1 Load &amp; Network'!$L$5:$L$109,MATCH($A7&amp;"|"&amp;J$6&amp;"|"&amp;$C$3,'1 Load &amp; Network'!$F$5:$F$109,0)),"")</f>
        <v/>
      </c>
      <c r="K7" s="58">
        <f>IFERROR(INDEX('1 Load &amp; Network'!$L$5:$L$109,MATCH($A7&amp;"|"&amp;K$6&amp;"|"&amp;$C$3,'1 Load &amp; Network'!$F$5:$F$109,0)),"")</f>
        <v/>
      </c>
      <c r="L7" s="58">
        <f>IFERROR(INDEX('1 Load &amp; Network'!$L$5:$L$109,MATCH($A7&amp;"|"&amp;L$6&amp;"|"&amp;$C$3,'1 Load &amp; Network'!$F$5:$F$109,0)),"")</f>
        <v/>
      </c>
      <c r="M7" s="20">
        <f>IF(COUNT(F7:L7)=0,"",INDEX($F$6:$L$6,MATCH(IF($E7="Lower",MIN(F7:L7),MAX(F7:L7)),F7:L7,0)))</f>
        <v/>
      </c>
      <c r="N7" s="21">
        <f>IF(OR(F7="",COUNT(F7:L7)=0),"",IF($E7="Lower",COUNTIF(F7:L7,"&lt;"&amp;F7),COUNTIF(F7:L7,"&gt;"&amp;F7))+1)</f>
        <v/>
      </c>
      <c r="O7" s="21">
        <f>COUNT(F7:L7)</f>
        <v/>
      </c>
      <c r="P7" s="22">
        <f>IF(OR(F7="",COUNT(F7:L7)&lt;2),"",IF($E7="Lower",IF(MIN(F7:L7)=0,"",(F7-MIN(F7:L7))/MIN(F7:L7)),IF(MAX(F7:L7)=0,"",(MAX(F7:L7)-F7)/MAX(F7:L7))))</f>
        <v/>
      </c>
    </row>
    <row r="8">
      <c r="A8" s="23">
        <f>'Metric Catalogue'!A6</f>
        <v/>
      </c>
      <c r="B8" s="23">
        <f>'Metric Catalogue'!B6</f>
        <v/>
      </c>
      <c r="C8" s="24">
        <f>'Metric Catalogue'!C6</f>
        <v/>
      </c>
      <c r="D8" s="23">
        <f>'Metric Catalogue'!D6</f>
        <v/>
      </c>
      <c r="E8" s="23">
        <f>'Metric Catalogue'!E6</f>
        <v/>
      </c>
      <c r="F8" s="57">
        <f>IFERROR(INDEX('1 Load &amp; Network'!$L$5:$L$109,MATCH($A8&amp;"|"&amp;F$6&amp;"|"&amp;$C$3,'1 Load &amp; Network'!$F$5:$F$109,0)),"")</f>
        <v/>
      </c>
      <c r="G8" s="58">
        <f>IFERROR(INDEX('1 Load &amp; Network'!$L$5:$L$109,MATCH($A8&amp;"|"&amp;G$6&amp;"|"&amp;$C$3,'1 Load &amp; Network'!$F$5:$F$109,0)),"")</f>
        <v/>
      </c>
      <c r="H8" s="58">
        <f>IFERROR(INDEX('1 Load &amp; Network'!$L$5:$L$109,MATCH($A8&amp;"|"&amp;H$6&amp;"|"&amp;$C$3,'1 Load &amp; Network'!$F$5:$F$109,0)),"")</f>
        <v/>
      </c>
      <c r="I8" s="58">
        <f>IFERROR(INDEX('1 Load &amp; Network'!$L$5:$L$109,MATCH($A8&amp;"|"&amp;I$6&amp;"|"&amp;$C$3,'1 Load &amp; Network'!$F$5:$F$109,0)),"")</f>
        <v/>
      </c>
      <c r="J8" s="58">
        <f>IFERROR(INDEX('1 Load &amp; Network'!$L$5:$L$109,MATCH($A8&amp;"|"&amp;J$6&amp;"|"&amp;$C$3,'1 Load &amp; Network'!$F$5:$F$109,0)),"")</f>
        <v/>
      </c>
      <c r="K8" s="58">
        <f>IFERROR(INDEX('1 Load &amp; Network'!$L$5:$L$109,MATCH($A8&amp;"|"&amp;K$6&amp;"|"&amp;$C$3,'1 Load &amp; Network'!$F$5:$F$109,0)),"")</f>
        <v/>
      </c>
      <c r="L8" s="58">
        <f>IFERROR(INDEX('1 Load &amp; Network'!$L$5:$L$109,MATCH($A8&amp;"|"&amp;L$6&amp;"|"&amp;$C$3,'1 Load &amp; Network'!$F$5:$F$109,0)),"")</f>
        <v/>
      </c>
      <c r="M8" s="20">
        <f>IF(COUNT(F8:L8)=0,"",INDEX($F$6:$L$6,MATCH(IF($E8="Lower",MIN(F8:L8),MAX(F8:L8)),F8:L8,0)))</f>
        <v/>
      </c>
      <c r="N8" s="21">
        <f>IF(OR(F8="",COUNT(F8:L8)=0),"",IF($E8="Lower",COUNTIF(F8:L8,"&lt;"&amp;F8),COUNTIF(F8:L8,"&gt;"&amp;F8))+1)</f>
        <v/>
      </c>
      <c r="O8" s="21">
        <f>COUNT(F8:L8)</f>
        <v/>
      </c>
      <c r="P8" s="22">
        <f>IF(OR(F8="",COUNT(F8:L8)&lt;2),"",IF($E8="Lower",IF(MIN(F8:L8)=0,"",(F8-MIN(F8:L8))/MIN(F8:L8)),IF(MAX(F8:L8)=0,"",(MAX(F8:L8)-F8)/MAX(F8:L8))))</f>
        <v/>
      </c>
    </row>
    <row r="9">
      <c r="A9" s="7">
        <f>'Metric Catalogue'!A7</f>
        <v/>
      </c>
      <c r="B9" s="7">
        <f>'Metric Catalogue'!B7</f>
        <v/>
      </c>
      <c r="C9" s="17">
        <f>'Metric Catalogue'!C7</f>
        <v/>
      </c>
      <c r="D9" s="7">
        <f>'Metric Catalogue'!D7</f>
        <v/>
      </c>
      <c r="E9" s="7">
        <f>'Metric Catalogue'!E7</f>
        <v/>
      </c>
      <c r="F9" s="57">
        <f>IFERROR(INDEX('1 Load &amp; Network'!$L$5:$L$109,MATCH($A9&amp;"|"&amp;F$6&amp;"|"&amp;$C$3,'1 Load &amp; Network'!$F$5:$F$109,0)),"")</f>
        <v/>
      </c>
      <c r="G9" s="58">
        <f>IFERROR(INDEX('1 Load &amp; Network'!$L$5:$L$109,MATCH($A9&amp;"|"&amp;G$6&amp;"|"&amp;$C$3,'1 Load &amp; Network'!$F$5:$F$109,0)),"")</f>
        <v/>
      </c>
      <c r="H9" s="58">
        <f>IFERROR(INDEX('1 Load &amp; Network'!$L$5:$L$109,MATCH($A9&amp;"|"&amp;H$6&amp;"|"&amp;$C$3,'1 Load &amp; Network'!$F$5:$F$109,0)),"")</f>
        <v/>
      </c>
      <c r="I9" s="58">
        <f>IFERROR(INDEX('1 Load &amp; Network'!$L$5:$L$109,MATCH($A9&amp;"|"&amp;I$6&amp;"|"&amp;$C$3,'1 Load &amp; Network'!$F$5:$F$109,0)),"")</f>
        <v/>
      </c>
      <c r="J9" s="58">
        <f>IFERROR(INDEX('1 Load &amp; Network'!$L$5:$L$109,MATCH($A9&amp;"|"&amp;J$6&amp;"|"&amp;$C$3,'1 Load &amp; Network'!$F$5:$F$109,0)),"")</f>
        <v/>
      </c>
      <c r="K9" s="58">
        <f>IFERROR(INDEX('1 Load &amp; Network'!$L$5:$L$109,MATCH($A9&amp;"|"&amp;K$6&amp;"|"&amp;$C$3,'1 Load &amp; Network'!$F$5:$F$109,0)),"")</f>
        <v/>
      </c>
      <c r="L9" s="58">
        <f>IFERROR(INDEX('1 Load &amp; Network'!$L$5:$L$109,MATCH($A9&amp;"|"&amp;L$6&amp;"|"&amp;$C$3,'1 Load &amp; Network'!$F$5:$F$109,0)),"")</f>
        <v/>
      </c>
      <c r="M9" s="20">
        <f>IF(COUNT(F9:L9)=0,"",INDEX($F$6:$L$6,MATCH(IF($E9="Lower",MIN(F9:L9),MAX(F9:L9)),F9:L9,0)))</f>
        <v/>
      </c>
      <c r="N9" s="21">
        <f>IF(OR(F9="",COUNT(F9:L9)=0),"",IF($E9="Lower",COUNTIF(F9:L9,"&lt;"&amp;F9),COUNTIF(F9:L9,"&gt;"&amp;F9))+1)</f>
        <v/>
      </c>
      <c r="O9" s="21">
        <f>COUNT(F9:L9)</f>
        <v/>
      </c>
      <c r="P9" s="22">
        <f>IF(OR(F9="",COUNT(F9:L9)&lt;2),"",IF($E9="Lower",IF(MIN(F9:L9)=0,"",(F9-MIN(F9:L9))/MIN(F9:L9)),IF(MAX(F9:L9)=0,"",(MAX(F9:L9)-F9)/MAX(F9:L9))))</f>
        <v/>
      </c>
    </row>
    <row r="10">
      <c r="A10" s="23">
        <f>'Metric Catalogue'!A8</f>
        <v/>
      </c>
      <c r="B10" s="23">
        <f>'Metric Catalogue'!B8</f>
        <v/>
      </c>
      <c r="C10" s="24">
        <f>'Metric Catalogue'!C8</f>
        <v/>
      </c>
      <c r="D10" s="23">
        <f>'Metric Catalogue'!D8</f>
        <v/>
      </c>
      <c r="E10" s="23">
        <f>'Metric Catalogue'!E8</f>
        <v/>
      </c>
      <c r="F10" s="57">
        <f>IFERROR(INDEX('1 Load &amp; Network'!$L$5:$L$109,MATCH($A10&amp;"|"&amp;F$6&amp;"|"&amp;$C$3,'1 Load &amp; Network'!$F$5:$F$109,0)),"")</f>
        <v/>
      </c>
      <c r="G10" s="58">
        <f>IFERROR(INDEX('1 Load &amp; Network'!$L$5:$L$109,MATCH($A10&amp;"|"&amp;G$6&amp;"|"&amp;$C$3,'1 Load &amp; Network'!$F$5:$F$109,0)),"")</f>
        <v/>
      </c>
      <c r="H10" s="58">
        <f>IFERROR(INDEX('1 Load &amp; Network'!$L$5:$L$109,MATCH($A10&amp;"|"&amp;H$6&amp;"|"&amp;$C$3,'1 Load &amp; Network'!$F$5:$F$109,0)),"")</f>
        <v/>
      </c>
      <c r="I10" s="58">
        <f>IFERROR(INDEX('1 Load &amp; Network'!$L$5:$L$109,MATCH($A10&amp;"|"&amp;I$6&amp;"|"&amp;$C$3,'1 Load &amp; Network'!$F$5:$F$109,0)),"")</f>
        <v/>
      </c>
      <c r="J10" s="58">
        <f>IFERROR(INDEX('1 Load &amp; Network'!$L$5:$L$109,MATCH($A10&amp;"|"&amp;J$6&amp;"|"&amp;$C$3,'1 Load &amp; Network'!$F$5:$F$109,0)),"")</f>
        <v/>
      </c>
      <c r="K10" s="58">
        <f>IFERROR(INDEX('1 Load &amp; Network'!$L$5:$L$109,MATCH($A10&amp;"|"&amp;K$6&amp;"|"&amp;$C$3,'1 Load &amp; Network'!$F$5:$F$109,0)),"")</f>
        <v/>
      </c>
      <c r="L10" s="58">
        <f>IFERROR(INDEX('1 Load &amp; Network'!$L$5:$L$109,MATCH($A10&amp;"|"&amp;L$6&amp;"|"&amp;$C$3,'1 Load &amp; Network'!$F$5:$F$109,0)),"")</f>
        <v/>
      </c>
      <c r="M10" s="20">
        <f>IF(COUNT(F10:L10)=0,"",INDEX($F$6:$L$6,MATCH(IF($E10="Lower",MIN(F10:L10),MAX(F10:L10)),F10:L10,0)))</f>
        <v/>
      </c>
      <c r="N10" s="21">
        <f>IF(OR(F10="",COUNT(F10:L10)=0),"",IF($E10="Lower",COUNTIF(F10:L10,"&lt;"&amp;F10),COUNTIF(F10:L10,"&gt;"&amp;F10))+1)</f>
        <v/>
      </c>
      <c r="O10" s="21">
        <f>COUNT(F10:L10)</f>
        <v/>
      </c>
      <c r="P10" s="22">
        <f>IF(OR(F10="",COUNT(F10:L10)&lt;2),"",IF($E10="Lower",IF(MIN(F10:L10)=0,"",(F10-MIN(F10:L10))/MIN(F10:L10)),IF(MAX(F10:L10)=0,"",(MAX(F10:L10)-F10)/MAX(F10:L10))))</f>
        <v/>
      </c>
    </row>
    <row r="11">
      <c r="A11" s="7">
        <f>'Metric Catalogue'!A9</f>
        <v/>
      </c>
      <c r="B11" s="7">
        <f>'Metric Catalogue'!B9</f>
        <v/>
      </c>
      <c r="C11" s="17">
        <f>'Metric Catalogue'!C9</f>
        <v/>
      </c>
      <c r="D11" s="7">
        <f>'Metric Catalogue'!D9</f>
        <v/>
      </c>
      <c r="E11" s="7">
        <f>'Metric Catalogue'!E9</f>
        <v/>
      </c>
      <c r="F11" s="57">
        <f>IFERROR(INDEX('1 Load &amp; Network'!$L$5:$L$109,MATCH($A11&amp;"|"&amp;F$6&amp;"|"&amp;$C$3,'1 Load &amp; Network'!$F$5:$F$109,0)),"")</f>
        <v/>
      </c>
      <c r="G11" s="58">
        <f>IFERROR(INDEX('1 Load &amp; Network'!$L$5:$L$109,MATCH($A11&amp;"|"&amp;G$6&amp;"|"&amp;$C$3,'1 Load &amp; Network'!$F$5:$F$109,0)),"")</f>
        <v/>
      </c>
      <c r="H11" s="58">
        <f>IFERROR(INDEX('1 Load &amp; Network'!$L$5:$L$109,MATCH($A11&amp;"|"&amp;H$6&amp;"|"&amp;$C$3,'1 Load &amp; Network'!$F$5:$F$109,0)),"")</f>
        <v/>
      </c>
      <c r="I11" s="58">
        <f>IFERROR(INDEX('1 Load &amp; Network'!$L$5:$L$109,MATCH($A11&amp;"|"&amp;I$6&amp;"|"&amp;$C$3,'1 Load &amp; Network'!$F$5:$F$109,0)),"")</f>
        <v/>
      </c>
      <c r="J11" s="58">
        <f>IFERROR(INDEX('1 Load &amp; Network'!$L$5:$L$109,MATCH($A11&amp;"|"&amp;J$6&amp;"|"&amp;$C$3,'1 Load &amp; Network'!$F$5:$F$109,0)),"")</f>
        <v/>
      </c>
      <c r="K11" s="58">
        <f>IFERROR(INDEX('1 Load &amp; Network'!$L$5:$L$109,MATCH($A11&amp;"|"&amp;K$6&amp;"|"&amp;$C$3,'1 Load &amp; Network'!$F$5:$F$109,0)),"")</f>
        <v/>
      </c>
      <c r="L11" s="58">
        <f>IFERROR(INDEX('1 Load &amp; Network'!$L$5:$L$109,MATCH($A11&amp;"|"&amp;L$6&amp;"|"&amp;$C$3,'1 Load &amp; Network'!$F$5:$F$109,0)),"")</f>
        <v/>
      </c>
      <c r="M11" s="20">
        <f>IF(COUNT(F11:L11)=0,"",INDEX($F$6:$L$6,MATCH(IF($E11="Lower",MIN(F11:L11),MAX(F11:L11)),F11:L11,0)))</f>
        <v/>
      </c>
      <c r="N11" s="21">
        <f>IF(OR(F11="",COUNT(F11:L11)=0),"",IF($E11="Lower",COUNTIF(F11:L11,"&lt;"&amp;F11),COUNTIF(F11:L11,"&gt;"&amp;F11))+1)</f>
        <v/>
      </c>
      <c r="O11" s="21">
        <f>COUNT(F11:L11)</f>
        <v/>
      </c>
      <c r="P11" s="22">
        <f>IF(OR(F11="",COUNT(F11:L11)&lt;2),"",IF($E11="Lower",IF(MIN(F11:L11)=0,"",(F11-MIN(F11:L11))/MIN(F11:L11)),IF(MAX(F11:L11)=0,"",(MAX(F11:L11)-F11)/MAX(F11:L11))))</f>
        <v/>
      </c>
    </row>
    <row r="12">
      <c r="A12" s="23">
        <f>'Metric Catalogue'!A10</f>
        <v/>
      </c>
      <c r="B12" s="23">
        <f>'Metric Catalogue'!B10</f>
        <v/>
      </c>
      <c r="C12" s="24">
        <f>'Metric Catalogue'!C10</f>
        <v/>
      </c>
      <c r="D12" s="23">
        <f>'Metric Catalogue'!D10</f>
        <v/>
      </c>
      <c r="E12" s="23">
        <f>'Metric Catalogue'!E10</f>
        <v/>
      </c>
      <c r="F12" s="57">
        <f>IFERROR(INDEX('1 Load &amp; Network'!$L$5:$L$109,MATCH($A12&amp;"|"&amp;F$6&amp;"|"&amp;$C$3,'1 Load &amp; Network'!$F$5:$F$109,0)),"")</f>
        <v/>
      </c>
      <c r="G12" s="58">
        <f>IFERROR(INDEX('1 Load &amp; Network'!$L$5:$L$109,MATCH($A12&amp;"|"&amp;G$6&amp;"|"&amp;$C$3,'1 Load &amp; Network'!$F$5:$F$109,0)),"")</f>
        <v/>
      </c>
      <c r="H12" s="58">
        <f>IFERROR(INDEX('1 Load &amp; Network'!$L$5:$L$109,MATCH($A12&amp;"|"&amp;H$6&amp;"|"&amp;$C$3,'1 Load &amp; Network'!$F$5:$F$109,0)),"")</f>
        <v/>
      </c>
      <c r="I12" s="58">
        <f>IFERROR(INDEX('1 Load &amp; Network'!$L$5:$L$109,MATCH($A12&amp;"|"&amp;I$6&amp;"|"&amp;$C$3,'1 Load &amp; Network'!$F$5:$F$109,0)),"")</f>
        <v/>
      </c>
      <c r="J12" s="58">
        <f>IFERROR(INDEX('1 Load &amp; Network'!$L$5:$L$109,MATCH($A12&amp;"|"&amp;J$6&amp;"|"&amp;$C$3,'1 Load &amp; Network'!$F$5:$F$109,0)),"")</f>
        <v/>
      </c>
      <c r="K12" s="58">
        <f>IFERROR(INDEX('1 Load &amp; Network'!$L$5:$L$109,MATCH($A12&amp;"|"&amp;K$6&amp;"|"&amp;$C$3,'1 Load &amp; Network'!$F$5:$F$109,0)),"")</f>
        <v/>
      </c>
      <c r="L12" s="58">
        <f>IFERROR(INDEX('1 Load &amp; Network'!$L$5:$L$109,MATCH($A12&amp;"|"&amp;L$6&amp;"|"&amp;$C$3,'1 Load &amp; Network'!$F$5:$F$109,0)),"")</f>
        <v/>
      </c>
      <c r="M12" s="20">
        <f>IF(COUNT(F12:L12)=0,"",INDEX($F$6:$L$6,MATCH(IF($E12="Lower",MIN(F12:L12),MAX(F12:L12)),F12:L12,0)))</f>
        <v/>
      </c>
      <c r="N12" s="21">
        <f>IF(OR(F12="",COUNT(F12:L12)=0),"",IF($E12="Lower",COUNTIF(F12:L12,"&lt;"&amp;F12),COUNTIF(F12:L12,"&gt;"&amp;F12))+1)</f>
        <v/>
      </c>
      <c r="O12" s="21">
        <f>COUNT(F12:L12)</f>
        <v/>
      </c>
      <c r="P12" s="22">
        <f>IF(OR(F12="",COUNT(F12:L12)&lt;2),"",IF($E12="Lower",IF(MIN(F12:L12)=0,"",(F12-MIN(F12:L12))/MIN(F12:L12)),IF(MAX(F12:L12)=0,"",(MAX(F12:L12)-F12)/MAX(F12:L12))))</f>
        <v/>
      </c>
    </row>
    <row r="13">
      <c r="A13" s="7">
        <f>'Metric Catalogue'!A11</f>
        <v/>
      </c>
      <c r="B13" s="7">
        <f>'Metric Catalogue'!B11</f>
        <v/>
      </c>
      <c r="C13" s="17">
        <f>'Metric Catalogue'!C11</f>
        <v/>
      </c>
      <c r="D13" s="7">
        <f>'Metric Catalogue'!D11</f>
        <v/>
      </c>
      <c r="E13" s="7">
        <f>'Metric Catalogue'!E11</f>
        <v/>
      </c>
      <c r="F13" s="57">
        <f>IFERROR(INDEX('1 Load &amp; Network'!$L$5:$L$109,MATCH($A13&amp;"|"&amp;F$6&amp;"|"&amp;$C$3,'1 Load &amp; Network'!$F$5:$F$109,0)),"")</f>
        <v/>
      </c>
      <c r="G13" s="58">
        <f>IFERROR(INDEX('1 Load &amp; Network'!$L$5:$L$109,MATCH($A13&amp;"|"&amp;G$6&amp;"|"&amp;$C$3,'1 Load &amp; Network'!$F$5:$F$109,0)),"")</f>
        <v/>
      </c>
      <c r="H13" s="58">
        <f>IFERROR(INDEX('1 Load &amp; Network'!$L$5:$L$109,MATCH($A13&amp;"|"&amp;H$6&amp;"|"&amp;$C$3,'1 Load &amp; Network'!$F$5:$F$109,0)),"")</f>
        <v/>
      </c>
      <c r="I13" s="58">
        <f>IFERROR(INDEX('1 Load &amp; Network'!$L$5:$L$109,MATCH($A13&amp;"|"&amp;I$6&amp;"|"&amp;$C$3,'1 Load &amp; Network'!$F$5:$F$109,0)),"")</f>
        <v/>
      </c>
      <c r="J13" s="58">
        <f>IFERROR(INDEX('1 Load &amp; Network'!$L$5:$L$109,MATCH($A13&amp;"|"&amp;J$6&amp;"|"&amp;$C$3,'1 Load &amp; Network'!$F$5:$F$109,0)),"")</f>
        <v/>
      </c>
      <c r="K13" s="58">
        <f>IFERROR(INDEX('1 Load &amp; Network'!$L$5:$L$109,MATCH($A13&amp;"|"&amp;K$6&amp;"|"&amp;$C$3,'1 Load &amp; Network'!$F$5:$F$109,0)),"")</f>
        <v/>
      </c>
      <c r="L13" s="58">
        <f>IFERROR(INDEX('1 Load &amp; Network'!$L$5:$L$109,MATCH($A13&amp;"|"&amp;L$6&amp;"|"&amp;$C$3,'1 Load &amp; Network'!$F$5:$F$109,0)),"")</f>
        <v/>
      </c>
      <c r="M13" s="20">
        <f>IF(COUNT(F13:L13)=0,"",INDEX($F$6:$L$6,MATCH(IF($E13="Lower",MIN(F13:L13),MAX(F13:L13)),F13:L13,0)))</f>
        <v/>
      </c>
      <c r="N13" s="21">
        <f>IF(OR(F13="",COUNT(F13:L13)=0),"",IF($E13="Lower",COUNTIF(F13:L13,"&lt;"&amp;F13),COUNTIF(F13:L13,"&gt;"&amp;F13))+1)</f>
        <v/>
      </c>
      <c r="O13" s="21">
        <f>COUNT(F13:L13)</f>
        <v/>
      </c>
      <c r="P13" s="22">
        <f>IF(OR(F13="",COUNT(F13:L13)&lt;2),"",IF($E13="Lower",IF(MIN(F13:L13)=0,"",(F13-MIN(F13:L13))/MIN(F13:L13)),IF(MAX(F13:L13)=0,"",(MAX(F13:L13)-F13)/MAX(F13:L13))))</f>
        <v/>
      </c>
    </row>
    <row r="14">
      <c r="A14" s="23">
        <f>'Metric Catalogue'!A12</f>
        <v/>
      </c>
      <c r="B14" s="23">
        <f>'Metric Catalogue'!B12</f>
        <v/>
      </c>
      <c r="C14" s="24">
        <f>'Metric Catalogue'!C12</f>
        <v/>
      </c>
      <c r="D14" s="23">
        <f>'Metric Catalogue'!D12</f>
        <v/>
      </c>
      <c r="E14" s="23">
        <f>'Metric Catalogue'!E12</f>
        <v/>
      </c>
      <c r="F14" s="57">
        <f>IFERROR(INDEX('1 Load &amp; Network'!$L$5:$L$109,MATCH($A14&amp;"|"&amp;F$6&amp;"|"&amp;$C$3,'1 Load &amp; Network'!$F$5:$F$109,0)),"")</f>
        <v/>
      </c>
      <c r="G14" s="58">
        <f>IFERROR(INDEX('1 Load &amp; Network'!$L$5:$L$109,MATCH($A14&amp;"|"&amp;G$6&amp;"|"&amp;$C$3,'1 Load &amp; Network'!$F$5:$F$109,0)),"")</f>
        <v/>
      </c>
      <c r="H14" s="58">
        <f>IFERROR(INDEX('1 Load &amp; Network'!$L$5:$L$109,MATCH($A14&amp;"|"&amp;H$6&amp;"|"&amp;$C$3,'1 Load &amp; Network'!$F$5:$F$109,0)),"")</f>
        <v/>
      </c>
      <c r="I14" s="58">
        <f>IFERROR(INDEX('1 Load &amp; Network'!$L$5:$L$109,MATCH($A14&amp;"|"&amp;I$6&amp;"|"&amp;$C$3,'1 Load &amp; Network'!$F$5:$F$109,0)),"")</f>
        <v/>
      </c>
      <c r="J14" s="58">
        <f>IFERROR(INDEX('1 Load &amp; Network'!$L$5:$L$109,MATCH($A14&amp;"|"&amp;J$6&amp;"|"&amp;$C$3,'1 Load &amp; Network'!$F$5:$F$109,0)),"")</f>
        <v/>
      </c>
      <c r="K14" s="58">
        <f>IFERROR(INDEX('1 Load &amp; Network'!$L$5:$L$109,MATCH($A14&amp;"|"&amp;K$6&amp;"|"&amp;$C$3,'1 Load &amp; Network'!$F$5:$F$109,0)),"")</f>
        <v/>
      </c>
      <c r="L14" s="58">
        <f>IFERROR(INDEX('1 Load &amp; Network'!$L$5:$L$109,MATCH($A14&amp;"|"&amp;L$6&amp;"|"&amp;$C$3,'1 Load &amp; Network'!$F$5:$F$109,0)),"")</f>
        <v/>
      </c>
      <c r="M14" s="20">
        <f>IF(COUNT(F14:L14)=0,"",INDEX($F$6:$L$6,MATCH(IF($E14="Lower",MIN(F14:L14),MAX(F14:L14)),F14:L14,0)))</f>
        <v/>
      </c>
      <c r="N14" s="21">
        <f>IF(OR(F14="",COUNT(F14:L14)=0),"",IF($E14="Lower",COUNTIF(F14:L14,"&lt;"&amp;F14),COUNTIF(F14:L14,"&gt;"&amp;F14))+1)</f>
        <v/>
      </c>
      <c r="O14" s="21">
        <f>COUNT(F14:L14)</f>
        <v/>
      </c>
      <c r="P14" s="22">
        <f>IF(OR(F14="",COUNT(F14:L14)&lt;2),"",IF($E14="Lower",IF(MIN(F14:L14)=0,"",(F14-MIN(F14:L14))/MIN(F14:L14)),IF(MAX(F14:L14)=0,"",(MAX(F14:L14)-F14)/MAX(F14:L14))))</f>
        <v/>
      </c>
    </row>
    <row r="15">
      <c r="A15" s="7">
        <f>'Metric Catalogue'!A13</f>
        <v/>
      </c>
      <c r="B15" s="7">
        <f>'Metric Catalogue'!B13</f>
        <v/>
      </c>
      <c r="C15" s="17">
        <f>'Metric Catalogue'!C13</f>
        <v/>
      </c>
      <c r="D15" s="7">
        <f>'Metric Catalogue'!D13</f>
        <v/>
      </c>
      <c r="E15" s="7">
        <f>'Metric Catalogue'!E13</f>
        <v/>
      </c>
      <c r="F15" s="57">
        <f>IFERROR(INDEX('1 Load &amp; Network'!$L$5:$L$109,MATCH($A15&amp;"|"&amp;F$6&amp;"|"&amp;$C$3,'1 Load &amp; Network'!$F$5:$F$109,0)),"")</f>
        <v/>
      </c>
      <c r="G15" s="58">
        <f>IFERROR(INDEX('1 Load &amp; Network'!$L$5:$L$109,MATCH($A15&amp;"|"&amp;G$6&amp;"|"&amp;$C$3,'1 Load &amp; Network'!$F$5:$F$109,0)),"")</f>
        <v/>
      </c>
      <c r="H15" s="58">
        <f>IFERROR(INDEX('1 Load &amp; Network'!$L$5:$L$109,MATCH($A15&amp;"|"&amp;H$6&amp;"|"&amp;$C$3,'1 Load &amp; Network'!$F$5:$F$109,0)),"")</f>
        <v/>
      </c>
      <c r="I15" s="58">
        <f>IFERROR(INDEX('1 Load &amp; Network'!$L$5:$L$109,MATCH($A15&amp;"|"&amp;I$6&amp;"|"&amp;$C$3,'1 Load &amp; Network'!$F$5:$F$109,0)),"")</f>
        <v/>
      </c>
      <c r="J15" s="58">
        <f>IFERROR(INDEX('1 Load &amp; Network'!$L$5:$L$109,MATCH($A15&amp;"|"&amp;J$6&amp;"|"&amp;$C$3,'1 Load &amp; Network'!$F$5:$F$109,0)),"")</f>
        <v/>
      </c>
      <c r="K15" s="58">
        <f>IFERROR(INDEX('1 Load &amp; Network'!$L$5:$L$109,MATCH($A15&amp;"|"&amp;K$6&amp;"|"&amp;$C$3,'1 Load &amp; Network'!$F$5:$F$109,0)),"")</f>
        <v/>
      </c>
      <c r="L15" s="58">
        <f>IFERROR(INDEX('1 Load &amp; Network'!$L$5:$L$109,MATCH($A15&amp;"|"&amp;L$6&amp;"|"&amp;$C$3,'1 Load &amp; Network'!$F$5:$F$109,0)),"")</f>
        <v/>
      </c>
      <c r="M15" s="20">
        <f>IF(COUNT(F15:L15)=0,"",INDEX($F$6:$L$6,MATCH(IF($E15="Lower",MIN(F15:L15),MAX(F15:L15)),F15:L15,0)))</f>
        <v/>
      </c>
      <c r="N15" s="21">
        <f>IF(OR(F15="",COUNT(F15:L15)=0),"",IF($E15="Lower",COUNTIF(F15:L15,"&lt;"&amp;F15),COUNTIF(F15:L15,"&gt;"&amp;F15))+1)</f>
        <v/>
      </c>
      <c r="O15" s="21">
        <f>COUNT(F15:L15)</f>
        <v/>
      </c>
      <c r="P15" s="22">
        <f>IF(OR(F15="",COUNT(F15:L15)&lt;2),"",IF($E15="Lower",IF(MIN(F15:L15)=0,"",(F15-MIN(F15:L15))/MIN(F15:L15)),IF(MAX(F15:L15)=0,"",(MAX(F15:L15)-F15)/MAX(F15:L15))))</f>
        <v/>
      </c>
    </row>
    <row r="16">
      <c r="A16" s="23">
        <f>'Metric Catalogue'!A14</f>
        <v/>
      </c>
      <c r="B16" s="23">
        <f>'Metric Catalogue'!B14</f>
        <v/>
      </c>
      <c r="C16" s="24">
        <f>'Metric Catalogue'!C14</f>
        <v/>
      </c>
      <c r="D16" s="23">
        <f>'Metric Catalogue'!D14</f>
        <v/>
      </c>
      <c r="E16" s="23">
        <f>'Metric Catalogue'!E14</f>
        <v/>
      </c>
      <c r="F16" s="57">
        <f>IFERROR(INDEX('1 Load &amp; Network'!$L$5:$L$109,MATCH($A16&amp;"|"&amp;F$6&amp;"|"&amp;$C$3,'1 Load &amp; Network'!$F$5:$F$109,0)),"")</f>
        <v/>
      </c>
      <c r="G16" s="58">
        <f>IFERROR(INDEX('1 Load &amp; Network'!$L$5:$L$109,MATCH($A16&amp;"|"&amp;G$6&amp;"|"&amp;$C$3,'1 Load &amp; Network'!$F$5:$F$109,0)),"")</f>
        <v/>
      </c>
      <c r="H16" s="58">
        <f>IFERROR(INDEX('1 Load &amp; Network'!$L$5:$L$109,MATCH($A16&amp;"|"&amp;H$6&amp;"|"&amp;$C$3,'1 Load &amp; Network'!$F$5:$F$109,0)),"")</f>
        <v/>
      </c>
      <c r="I16" s="58">
        <f>IFERROR(INDEX('1 Load &amp; Network'!$L$5:$L$109,MATCH($A16&amp;"|"&amp;I$6&amp;"|"&amp;$C$3,'1 Load &amp; Network'!$F$5:$F$109,0)),"")</f>
        <v/>
      </c>
      <c r="J16" s="58">
        <f>IFERROR(INDEX('1 Load &amp; Network'!$L$5:$L$109,MATCH($A16&amp;"|"&amp;J$6&amp;"|"&amp;$C$3,'1 Load &amp; Network'!$F$5:$F$109,0)),"")</f>
        <v/>
      </c>
      <c r="K16" s="58">
        <f>IFERROR(INDEX('1 Load &amp; Network'!$L$5:$L$109,MATCH($A16&amp;"|"&amp;K$6&amp;"|"&amp;$C$3,'1 Load &amp; Network'!$F$5:$F$109,0)),"")</f>
        <v/>
      </c>
      <c r="L16" s="58">
        <f>IFERROR(INDEX('1 Load &amp; Network'!$L$5:$L$109,MATCH($A16&amp;"|"&amp;L$6&amp;"|"&amp;$C$3,'1 Load &amp; Network'!$F$5:$F$109,0)),"")</f>
        <v/>
      </c>
      <c r="M16" s="20">
        <f>IF(COUNT(F16:L16)=0,"",INDEX($F$6:$L$6,MATCH(IF($E16="Lower",MIN(F16:L16),MAX(F16:L16)),F16:L16,0)))</f>
        <v/>
      </c>
      <c r="N16" s="21">
        <f>IF(OR(F16="",COUNT(F16:L16)=0),"",IF($E16="Lower",COUNTIF(F16:L16,"&lt;"&amp;F16),COUNTIF(F16:L16,"&gt;"&amp;F16))+1)</f>
        <v/>
      </c>
      <c r="O16" s="21">
        <f>COUNT(F16:L16)</f>
        <v/>
      </c>
      <c r="P16" s="22">
        <f>IF(OR(F16="",COUNT(F16:L16)&lt;2),"",IF($E16="Lower",IF(MIN(F16:L16)=0,"",(F16-MIN(F16:L16))/MIN(F16:L16)),IF(MAX(F16:L16)=0,"",(MAX(F16:L16)-F16)/MAX(F16:L16))))</f>
        <v/>
      </c>
    </row>
    <row r="17">
      <c r="A17" s="7">
        <f>'Metric Catalogue'!A15</f>
        <v/>
      </c>
      <c r="B17" s="7">
        <f>'Metric Catalogue'!B15</f>
        <v/>
      </c>
      <c r="C17" s="17">
        <f>'Metric Catalogue'!C15</f>
        <v/>
      </c>
      <c r="D17" s="7">
        <f>'Metric Catalogue'!D15</f>
        <v/>
      </c>
      <c r="E17" s="7">
        <f>'Metric Catalogue'!E15</f>
        <v/>
      </c>
      <c r="F17" s="57">
        <f>IFERROR(INDEX('1 Load &amp; Network'!$L$5:$L$109,MATCH($A17&amp;"|"&amp;F$6&amp;"|"&amp;$C$3,'1 Load &amp; Network'!$F$5:$F$109,0)),"")</f>
        <v/>
      </c>
      <c r="G17" s="58">
        <f>IFERROR(INDEX('1 Load &amp; Network'!$L$5:$L$109,MATCH($A17&amp;"|"&amp;G$6&amp;"|"&amp;$C$3,'1 Load &amp; Network'!$F$5:$F$109,0)),"")</f>
        <v/>
      </c>
      <c r="H17" s="58">
        <f>IFERROR(INDEX('1 Load &amp; Network'!$L$5:$L$109,MATCH($A17&amp;"|"&amp;H$6&amp;"|"&amp;$C$3,'1 Load &amp; Network'!$F$5:$F$109,0)),"")</f>
        <v/>
      </c>
      <c r="I17" s="58">
        <f>IFERROR(INDEX('1 Load &amp; Network'!$L$5:$L$109,MATCH($A17&amp;"|"&amp;I$6&amp;"|"&amp;$C$3,'1 Load &amp; Network'!$F$5:$F$109,0)),"")</f>
        <v/>
      </c>
      <c r="J17" s="58">
        <f>IFERROR(INDEX('1 Load &amp; Network'!$L$5:$L$109,MATCH($A17&amp;"|"&amp;J$6&amp;"|"&amp;$C$3,'1 Load &amp; Network'!$F$5:$F$109,0)),"")</f>
        <v/>
      </c>
      <c r="K17" s="58">
        <f>IFERROR(INDEX('1 Load &amp; Network'!$L$5:$L$109,MATCH($A17&amp;"|"&amp;K$6&amp;"|"&amp;$C$3,'1 Load &amp; Network'!$F$5:$F$109,0)),"")</f>
        <v/>
      </c>
      <c r="L17" s="58">
        <f>IFERROR(INDEX('1 Load &amp; Network'!$L$5:$L$109,MATCH($A17&amp;"|"&amp;L$6&amp;"|"&amp;$C$3,'1 Load &amp; Network'!$F$5:$F$109,0)),"")</f>
        <v/>
      </c>
      <c r="M17" s="20">
        <f>IF(COUNT(F17:L17)=0,"",INDEX($F$6:$L$6,MATCH(IF($E17="Lower",MIN(F17:L17),MAX(F17:L17)),F17:L17,0)))</f>
        <v/>
      </c>
      <c r="N17" s="21">
        <f>IF(OR(F17="",COUNT(F17:L17)=0),"",IF($E17="Lower",COUNTIF(F17:L17,"&lt;"&amp;F17),COUNTIF(F17:L17,"&gt;"&amp;F17))+1)</f>
        <v/>
      </c>
      <c r="O17" s="21">
        <f>COUNT(F17:L17)</f>
        <v/>
      </c>
      <c r="P17" s="22">
        <f>IF(OR(F17="",COUNT(F17:L17)&lt;2),"",IF($E17="Lower",IF(MIN(F17:L17)=0,"",(F17-MIN(F17:L17))/MIN(F17:L17)),IF(MAX(F17:L17)=0,"",(MAX(F17:L17)-F17)/MAX(F17:L17))))</f>
        <v/>
      </c>
    </row>
    <row r="18">
      <c r="A18" s="23">
        <f>'Metric Catalogue'!A16</f>
        <v/>
      </c>
      <c r="B18" s="23">
        <f>'Metric Catalogue'!B16</f>
        <v/>
      </c>
      <c r="C18" s="24">
        <f>'Metric Catalogue'!C16</f>
        <v/>
      </c>
      <c r="D18" s="23">
        <f>'Metric Catalogue'!D16</f>
        <v/>
      </c>
      <c r="E18" s="23">
        <f>'Metric Catalogue'!E16</f>
        <v/>
      </c>
      <c r="F18" s="57">
        <f>IFERROR(INDEX('1 Load &amp; Network'!$L$5:$L$109,MATCH($A18&amp;"|"&amp;F$6&amp;"|"&amp;$C$3,'1 Load &amp; Network'!$F$5:$F$109,0)),"")</f>
        <v/>
      </c>
      <c r="G18" s="58">
        <f>IFERROR(INDEX('1 Load &amp; Network'!$L$5:$L$109,MATCH($A18&amp;"|"&amp;G$6&amp;"|"&amp;$C$3,'1 Load &amp; Network'!$F$5:$F$109,0)),"")</f>
        <v/>
      </c>
      <c r="H18" s="58">
        <f>IFERROR(INDEX('1 Load &amp; Network'!$L$5:$L$109,MATCH($A18&amp;"|"&amp;H$6&amp;"|"&amp;$C$3,'1 Load &amp; Network'!$F$5:$F$109,0)),"")</f>
        <v/>
      </c>
      <c r="I18" s="58">
        <f>IFERROR(INDEX('1 Load &amp; Network'!$L$5:$L$109,MATCH($A18&amp;"|"&amp;I$6&amp;"|"&amp;$C$3,'1 Load &amp; Network'!$F$5:$F$109,0)),"")</f>
        <v/>
      </c>
      <c r="J18" s="58">
        <f>IFERROR(INDEX('1 Load &amp; Network'!$L$5:$L$109,MATCH($A18&amp;"|"&amp;J$6&amp;"|"&amp;$C$3,'1 Load &amp; Network'!$F$5:$F$109,0)),"")</f>
        <v/>
      </c>
      <c r="K18" s="58">
        <f>IFERROR(INDEX('1 Load &amp; Network'!$L$5:$L$109,MATCH($A18&amp;"|"&amp;K$6&amp;"|"&amp;$C$3,'1 Load &amp; Network'!$F$5:$F$109,0)),"")</f>
        <v/>
      </c>
      <c r="L18" s="58">
        <f>IFERROR(INDEX('1 Load &amp; Network'!$L$5:$L$109,MATCH($A18&amp;"|"&amp;L$6&amp;"|"&amp;$C$3,'1 Load &amp; Network'!$F$5:$F$109,0)),"")</f>
        <v/>
      </c>
      <c r="M18" s="20">
        <f>IF(COUNT(F18:L18)=0,"",INDEX($F$6:$L$6,MATCH(IF($E18="Lower",MIN(F18:L18),MAX(F18:L18)),F18:L18,0)))</f>
        <v/>
      </c>
      <c r="N18" s="21">
        <f>IF(OR(F18="",COUNT(F18:L18)=0),"",IF($E18="Lower",COUNTIF(F18:L18,"&lt;"&amp;F18),COUNTIF(F18:L18,"&gt;"&amp;F18))+1)</f>
        <v/>
      </c>
      <c r="O18" s="21">
        <f>COUNT(F18:L18)</f>
        <v/>
      </c>
      <c r="P18" s="22">
        <f>IF(OR(F18="",COUNT(F18:L18)&lt;2),"",IF($E18="Lower",IF(MIN(F18:L18)=0,"",(F18-MIN(F18:L18))/MIN(F18:L18)),IF(MAX(F18:L18)=0,"",(MAX(F18:L18)-F18)/MAX(F18:L18))))</f>
        <v/>
      </c>
    </row>
    <row r="19">
      <c r="A19" s="7">
        <f>'Metric Catalogue'!A17</f>
        <v/>
      </c>
      <c r="B19" s="7">
        <f>'Metric Catalogue'!B17</f>
        <v/>
      </c>
      <c r="C19" s="17">
        <f>'Metric Catalogue'!C17</f>
        <v/>
      </c>
      <c r="D19" s="7">
        <f>'Metric Catalogue'!D17</f>
        <v/>
      </c>
      <c r="E19" s="7">
        <f>'Metric Catalogue'!E17</f>
        <v/>
      </c>
      <c r="F19" s="57">
        <f>IFERROR(INDEX('1 Load &amp; Network'!$L$5:$L$109,MATCH($A19&amp;"|"&amp;F$6&amp;"|"&amp;$C$3,'1 Load &amp; Network'!$F$5:$F$109,0)),"")</f>
        <v/>
      </c>
      <c r="G19" s="58">
        <f>IFERROR(INDEX('1 Load &amp; Network'!$L$5:$L$109,MATCH($A19&amp;"|"&amp;G$6&amp;"|"&amp;$C$3,'1 Load &amp; Network'!$F$5:$F$109,0)),"")</f>
        <v/>
      </c>
      <c r="H19" s="58">
        <f>IFERROR(INDEX('1 Load &amp; Network'!$L$5:$L$109,MATCH($A19&amp;"|"&amp;H$6&amp;"|"&amp;$C$3,'1 Load &amp; Network'!$F$5:$F$109,0)),"")</f>
        <v/>
      </c>
      <c r="I19" s="58">
        <f>IFERROR(INDEX('1 Load &amp; Network'!$L$5:$L$109,MATCH($A19&amp;"|"&amp;I$6&amp;"|"&amp;$C$3,'1 Load &amp; Network'!$F$5:$F$109,0)),"")</f>
        <v/>
      </c>
      <c r="J19" s="58">
        <f>IFERROR(INDEX('1 Load &amp; Network'!$L$5:$L$109,MATCH($A19&amp;"|"&amp;J$6&amp;"|"&amp;$C$3,'1 Load &amp; Network'!$F$5:$F$109,0)),"")</f>
        <v/>
      </c>
      <c r="K19" s="58">
        <f>IFERROR(INDEX('1 Load &amp; Network'!$L$5:$L$109,MATCH($A19&amp;"|"&amp;K$6&amp;"|"&amp;$C$3,'1 Load &amp; Network'!$F$5:$F$109,0)),"")</f>
        <v/>
      </c>
      <c r="L19" s="58">
        <f>IFERROR(INDEX('1 Load &amp; Network'!$L$5:$L$109,MATCH($A19&amp;"|"&amp;L$6&amp;"|"&amp;$C$3,'1 Load &amp; Network'!$F$5:$F$109,0)),"")</f>
        <v/>
      </c>
      <c r="M19" s="20">
        <f>IF(COUNT(F19:L19)=0,"",INDEX($F$6:$L$6,MATCH(IF($E19="Lower",MIN(F19:L19),MAX(F19:L19)),F19:L19,0)))</f>
        <v/>
      </c>
      <c r="N19" s="21">
        <f>IF(OR(F19="",COUNT(F19:L19)=0),"",IF($E19="Lower",COUNTIF(F19:L19,"&lt;"&amp;F19),COUNTIF(F19:L19,"&gt;"&amp;F19))+1)</f>
        <v/>
      </c>
      <c r="O19" s="21">
        <f>COUNT(F19:L19)</f>
        <v/>
      </c>
      <c r="P19" s="22">
        <f>IF(OR(F19="",COUNT(F19:L19)&lt;2),"",IF($E19="Lower",IF(MIN(F19:L19)=0,"",(F19-MIN(F19:L19))/MIN(F19:L19)),IF(MAX(F19:L19)=0,"",(MAX(F19:L19)-F19)/MAX(F19:L19))))</f>
        <v/>
      </c>
    </row>
    <row r="20">
      <c r="A20" s="23">
        <f>'Metric Catalogue'!A18</f>
        <v/>
      </c>
      <c r="B20" s="23">
        <f>'Metric Catalogue'!B18</f>
        <v/>
      </c>
      <c r="C20" s="24">
        <f>'Metric Catalogue'!C18</f>
        <v/>
      </c>
      <c r="D20" s="23">
        <f>'Metric Catalogue'!D18</f>
        <v/>
      </c>
      <c r="E20" s="23">
        <f>'Metric Catalogue'!E18</f>
        <v/>
      </c>
      <c r="F20" s="57">
        <f>IFERROR(INDEX('1 Load &amp; Network'!$L$5:$L$109,MATCH($A20&amp;"|"&amp;F$6&amp;"|"&amp;$C$3,'1 Load &amp; Network'!$F$5:$F$109,0)),"")</f>
        <v/>
      </c>
      <c r="G20" s="58">
        <f>IFERROR(INDEX('1 Load &amp; Network'!$L$5:$L$109,MATCH($A20&amp;"|"&amp;G$6&amp;"|"&amp;$C$3,'1 Load &amp; Network'!$F$5:$F$109,0)),"")</f>
        <v/>
      </c>
      <c r="H20" s="58">
        <f>IFERROR(INDEX('1 Load &amp; Network'!$L$5:$L$109,MATCH($A20&amp;"|"&amp;H$6&amp;"|"&amp;$C$3,'1 Load &amp; Network'!$F$5:$F$109,0)),"")</f>
        <v/>
      </c>
      <c r="I20" s="58">
        <f>IFERROR(INDEX('1 Load &amp; Network'!$L$5:$L$109,MATCH($A20&amp;"|"&amp;I$6&amp;"|"&amp;$C$3,'1 Load &amp; Network'!$F$5:$F$109,0)),"")</f>
        <v/>
      </c>
      <c r="J20" s="58">
        <f>IFERROR(INDEX('1 Load &amp; Network'!$L$5:$L$109,MATCH($A20&amp;"|"&amp;J$6&amp;"|"&amp;$C$3,'1 Load &amp; Network'!$F$5:$F$109,0)),"")</f>
        <v/>
      </c>
      <c r="K20" s="58">
        <f>IFERROR(INDEX('1 Load &amp; Network'!$L$5:$L$109,MATCH($A20&amp;"|"&amp;K$6&amp;"|"&amp;$C$3,'1 Load &amp; Network'!$F$5:$F$109,0)),"")</f>
        <v/>
      </c>
      <c r="L20" s="58">
        <f>IFERROR(INDEX('1 Load &amp; Network'!$L$5:$L$109,MATCH($A20&amp;"|"&amp;L$6&amp;"|"&amp;$C$3,'1 Load &amp; Network'!$F$5:$F$109,0)),"")</f>
        <v/>
      </c>
      <c r="M20" s="20">
        <f>IF(COUNT(F20:L20)=0,"",INDEX($F$6:$L$6,MATCH(IF($E20="Lower",MIN(F20:L20),MAX(F20:L20)),F20:L20,0)))</f>
        <v/>
      </c>
      <c r="N20" s="21">
        <f>IF(OR(F20="",COUNT(F20:L20)=0),"",IF($E20="Lower",COUNTIF(F20:L20,"&lt;"&amp;F20),COUNTIF(F20:L20,"&gt;"&amp;F20))+1)</f>
        <v/>
      </c>
      <c r="O20" s="21">
        <f>COUNT(F20:L20)</f>
        <v/>
      </c>
      <c r="P20" s="22">
        <f>IF(OR(F20="",COUNT(F20:L20)&lt;2),"",IF($E20="Lower",IF(MIN(F20:L20)=0,"",(F20-MIN(F20:L20))/MIN(F20:L20)),IF(MAX(F20:L20)=0,"",(MAX(F20:L20)-F20)/MAX(F20:L20))))</f>
        <v/>
      </c>
    </row>
    <row r="21">
      <c r="A21" s="7">
        <f>'Metric Catalogue'!A19</f>
        <v/>
      </c>
      <c r="B21" s="7">
        <f>'Metric Catalogue'!B19</f>
        <v/>
      </c>
      <c r="C21" s="17">
        <f>'Metric Catalogue'!C19</f>
        <v/>
      </c>
      <c r="D21" s="7">
        <f>'Metric Catalogue'!D19</f>
        <v/>
      </c>
      <c r="E21" s="7">
        <f>'Metric Catalogue'!E19</f>
        <v/>
      </c>
      <c r="F21" s="57">
        <f>IFERROR(INDEX('1 Load &amp; Network'!$L$5:$L$109,MATCH($A21&amp;"|"&amp;F$6&amp;"|"&amp;$C$3,'1 Load &amp; Network'!$F$5:$F$109,0)),"")</f>
        <v/>
      </c>
      <c r="G21" s="58">
        <f>IFERROR(INDEX('1 Load &amp; Network'!$L$5:$L$109,MATCH($A21&amp;"|"&amp;G$6&amp;"|"&amp;$C$3,'1 Load &amp; Network'!$F$5:$F$109,0)),"")</f>
        <v/>
      </c>
      <c r="H21" s="58">
        <f>IFERROR(INDEX('1 Load &amp; Network'!$L$5:$L$109,MATCH($A21&amp;"|"&amp;H$6&amp;"|"&amp;$C$3,'1 Load &amp; Network'!$F$5:$F$109,0)),"")</f>
        <v/>
      </c>
      <c r="I21" s="58">
        <f>IFERROR(INDEX('1 Load &amp; Network'!$L$5:$L$109,MATCH($A21&amp;"|"&amp;I$6&amp;"|"&amp;$C$3,'1 Load &amp; Network'!$F$5:$F$109,0)),"")</f>
        <v/>
      </c>
      <c r="J21" s="58">
        <f>IFERROR(INDEX('1 Load &amp; Network'!$L$5:$L$109,MATCH($A21&amp;"|"&amp;J$6&amp;"|"&amp;$C$3,'1 Load &amp; Network'!$F$5:$F$109,0)),"")</f>
        <v/>
      </c>
      <c r="K21" s="58">
        <f>IFERROR(INDEX('1 Load &amp; Network'!$L$5:$L$109,MATCH($A21&amp;"|"&amp;K$6&amp;"|"&amp;$C$3,'1 Load &amp; Network'!$F$5:$F$109,0)),"")</f>
        <v/>
      </c>
      <c r="L21" s="58">
        <f>IFERROR(INDEX('1 Load &amp; Network'!$L$5:$L$109,MATCH($A21&amp;"|"&amp;L$6&amp;"|"&amp;$C$3,'1 Load &amp; Network'!$F$5:$F$109,0)),"")</f>
        <v/>
      </c>
      <c r="M21" s="20">
        <f>IF(COUNT(F21:L21)=0,"",INDEX($F$6:$L$6,MATCH(IF($E21="Lower",MIN(F21:L21),MAX(F21:L21)),F21:L21,0)))</f>
        <v/>
      </c>
      <c r="N21" s="21">
        <f>IF(OR(F21="",COUNT(F21:L21)=0),"",IF($E21="Lower",COUNTIF(F21:L21,"&lt;"&amp;F21),COUNTIF(F21:L21,"&gt;"&amp;F21))+1)</f>
        <v/>
      </c>
      <c r="O21" s="21">
        <f>COUNT(F21:L21)</f>
        <v/>
      </c>
      <c r="P21" s="22">
        <f>IF(OR(F21="",COUNT(F21:L21)&lt;2),"",IF($E21="Lower",IF(MIN(F21:L21)=0,"",(F21-MIN(F21:L21))/MIN(F21:L21)),IF(MAX(F21:L21)=0,"",(MAX(F21:L21)-F21)/MAX(F21:L21))))</f>
        <v/>
      </c>
    </row>
    <row r="22">
      <c r="A22" s="23">
        <f>'Metric Catalogue'!A20</f>
        <v/>
      </c>
      <c r="B22" s="23">
        <f>'Metric Catalogue'!B20</f>
        <v/>
      </c>
      <c r="C22" s="24">
        <f>'Metric Catalogue'!C20</f>
        <v/>
      </c>
      <c r="D22" s="23">
        <f>'Metric Catalogue'!D20</f>
        <v/>
      </c>
      <c r="E22" s="23">
        <f>'Metric Catalogue'!E20</f>
        <v/>
      </c>
      <c r="F22" s="57">
        <f>IFERROR(INDEX('2 Scroll FPS'!$L$5:$L$53,MATCH($A22&amp;"|"&amp;F$6&amp;"|"&amp;$C$3,'2 Scroll FPS'!$F$5:$F$53,0)),"")</f>
        <v/>
      </c>
      <c r="G22" s="58">
        <f>IFERROR(INDEX('2 Scroll FPS'!$L$5:$L$53,MATCH($A22&amp;"|"&amp;G$6&amp;"|"&amp;$C$3,'2 Scroll FPS'!$F$5:$F$53,0)),"")</f>
        <v/>
      </c>
      <c r="H22" s="58">
        <f>IFERROR(INDEX('2 Scroll FPS'!$L$5:$L$53,MATCH($A22&amp;"|"&amp;H$6&amp;"|"&amp;$C$3,'2 Scroll FPS'!$F$5:$F$53,0)),"")</f>
        <v/>
      </c>
      <c r="I22" s="58">
        <f>IFERROR(INDEX('2 Scroll FPS'!$L$5:$L$53,MATCH($A22&amp;"|"&amp;I$6&amp;"|"&amp;$C$3,'2 Scroll FPS'!$F$5:$F$53,0)),"")</f>
        <v/>
      </c>
      <c r="J22" s="58">
        <f>IFERROR(INDEX('2 Scroll FPS'!$L$5:$L$53,MATCH($A22&amp;"|"&amp;J$6&amp;"|"&amp;$C$3,'2 Scroll FPS'!$F$5:$F$53,0)),"")</f>
        <v/>
      </c>
      <c r="K22" s="58">
        <f>IFERROR(INDEX('2 Scroll FPS'!$L$5:$L$53,MATCH($A22&amp;"|"&amp;K$6&amp;"|"&amp;$C$3,'2 Scroll FPS'!$F$5:$F$53,0)),"")</f>
        <v/>
      </c>
      <c r="L22" s="58">
        <f>IFERROR(INDEX('2 Scroll FPS'!$L$5:$L$53,MATCH($A22&amp;"|"&amp;L$6&amp;"|"&amp;$C$3,'2 Scroll FPS'!$F$5:$F$53,0)),"")</f>
        <v/>
      </c>
      <c r="M22" s="20">
        <f>IF(COUNT(F22:L22)=0,"",INDEX($F$6:$L$6,MATCH(IF($E22="Lower",MIN(F22:L22),MAX(F22:L22)),F22:L22,0)))</f>
        <v/>
      </c>
      <c r="N22" s="21">
        <f>IF(OR(F22="",COUNT(F22:L22)=0),"",IF($E22="Lower",COUNTIF(F22:L22,"&lt;"&amp;F22),COUNTIF(F22:L22,"&gt;"&amp;F22))+1)</f>
        <v/>
      </c>
      <c r="O22" s="21">
        <f>COUNT(F22:L22)</f>
        <v/>
      </c>
      <c r="P22" s="22">
        <f>IF(OR(F22="",COUNT(F22:L22)&lt;2),"",IF($E22="Lower",IF(MIN(F22:L22)=0,"",(F22-MIN(F22:L22))/MIN(F22:L22)),IF(MAX(F22:L22)=0,"",(MAX(F22:L22)-F22)/MAX(F22:L22))))</f>
        <v/>
      </c>
    </row>
    <row r="23">
      <c r="A23" s="7">
        <f>'Metric Catalogue'!A21</f>
        <v/>
      </c>
      <c r="B23" s="7">
        <f>'Metric Catalogue'!B21</f>
        <v/>
      </c>
      <c r="C23" s="17">
        <f>'Metric Catalogue'!C21</f>
        <v/>
      </c>
      <c r="D23" s="7">
        <f>'Metric Catalogue'!D21</f>
        <v/>
      </c>
      <c r="E23" s="7">
        <f>'Metric Catalogue'!E21</f>
        <v/>
      </c>
      <c r="F23" s="57">
        <f>IFERROR(INDEX('2 Scroll FPS'!$L$5:$L$53,MATCH($A23&amp;"|"&amp;F$6&amp;"|"&amp;$C$3,'2 Scroll FPS'!$F$5:$F$53,0)),"")</f>
        <v/>
      </c>
      <c r="G23" s="58">
        <f>IFERROR(INDEX('2 Scroll FPS'!$L$5:$L$53,MATCH($A23&amp;"|"&amp;G$6&amp;"|"&amp;$C$3,'2 Scroll FPS'!$F$5:$F$53,0)),"")</f>
        <v/>
      </c>
      <c r="H23" s="58">
        <f>IFERROR(INDEX('2 Scroll FPS'!$L$5:$L$53,MATCH($A23&amp;"|"&amp;H$6&amp;"|"&amp;$C$3,'2 Scroll FPS'!$F$5:$F$53,0)),"")</f>
        <v/>
      </c>
      <c r="I23" s="58">
        <f>IFERROR(INDEX('2 Scroll FPS'!$L$5:$L$53,MATCH($A23&amp;"|"&amp;I$6&amp;"|"&amp;$C$3,'2 Scroll FPS'!$F$5:$F$53,0)),"")</f>
        <v/>
      </c>
      <c r="J23" s="58">
        <f>IFERROR(INDEX('2 Scroll FPS'!$L$5:$L$53,MATCH($A23&amp;"|"&amp;J$6&amp;"|"&amp;$C$3,'2 Scroll FPS'!$F$5:$F$53,0)),"")</f>
        <v/>
      </c>
      <c r="K23" s="58">
        <f>IFERROR(INDEX('2 Scroll FPS'!$L$5:$L$53,MATCH($A23&amp;"|"&amp;K$6&amp;"|"&amp;$C$3,'2 Scroll FPS'!$F$5:$F$53,0)),"")</f>
        <v/>
      </c>
      <c r="L23" s="58">
        <f>IFERROR(INDEX('2 Scroll FPS'!$L$5:$L$53,MATCH($A23&amp;"|"&amp;L$6&amp;"|"&amp;$C$3,'2 Scroll FPS'!$F$5:$F$53,0)),"")</f>
        <v/>
      </c>
      <c r="M23" s="20">
        <f>IF(COUNT(F23:L23)=0,"",INDEX($F$6:$L$6,MATCH(IF($E23="Lower",MIN(F23:L23),MAX(F23:L23)),F23:L23,0)))</f>
        <v/>
      </c>
      <c r="N23" s="21">
        <f>IF(OR(F23="",COUNT(F23:L23)=0),"",IF($E23="Lower",COUNTIF(F23:L23,"&lt;"&amp;F23),COUNTIF(F23:L23,"&gt;"&amp;F23))+1)</f>
        <v/>
      </c>
      <c r="O23" s="21">
        <f>COUNT(F23:L23)</f>
        <v/>
      </c>
      <c r="P23" s="22">
        <f>IF(OR(F23="",COUNT(F23:L23)&lt;2),"",IF($E23="Lower",IF(MIN(F23:L23)=0,"",(F23-MIN(F23:L23))/MIN(F23:L23)),IF(MAX(F23:L23)=0,"",(MAX(F23:L23)-F23)/MAX(F23:L23))))</f>
        <v/>
      </c>
    </row>
    <row r="24">
      <c r="A24" s="23">
        <f>'Metric Catalogue'!A22</f>
        <v/>
      </c>
      <c r="B24" s="23">
        <f>'Metric Catalogue'!B22</f>
        <v/>
      </c>
      <c r="C24" s="24">
        <f>'Metric Catalogue'!C22</f>
        <v/>
      </c>
      <c r="D24" s="23">
        <f>'Metric Catalogue'!D22</f>
        <v/>
      </c>
      <c r="E24" s="23">
        <f>'Metric Catalogue'!E22</f>
        <v/>
      </c>
      <c r="F24" s="57">
        <f>IFERROR(INDEX('2 Scroll FPS'!$L$5:$L$53,MATCH($A24&amp;"|"&amp;F$6&amp;"|"&amp;$C$3,'2 Scroll FPS'!$F$5:$F$53,0)),"")</f>
        <v/>
      </c>
      <c r="G24" s="58">
        <f>IFERROR(INDEX('2 Scroll FPS'!$L$5:$L$53,MATCH($A24&amp;"|"&amp;G$6&amp;"|"&amp;$C$3,'2 Scroll FPS'!$F$5:$F$53,0)),"")</f>
        <v/>
      </c>
      <c r="H24" s="58">
        <f>IFERROR(INDEX('2 Scroll FPS'!$L$5:$L$53,MATCH($A24&amp;"|"&amp;H$6&amp;"|"&amp;$C$3,'2 Scroll FPS'!$F$5:$F$53,0)),"")</f>
        <v/>
      </c>
      <c r="I24" s="58">
        <f>IFERROR(INDEX('2 Scroll FPS'!$L$5:$L$53,MATCH($A24&amp;"|"&amp;I$6&amp;"|"&amp;$C$3,'2 Scroll FPS'!$F$5:$F$53,0)),"")</f>
        <v/>
      </c>
      <c r="J24" s="58">
        <f>IFERROR(INDEX('2 Scroll FPS'!$L$5:$L$53,MATCH($A24&amp;"|"&amp;J$6&amp;"|"&amp;$C$3,'2 Scroll FPS'!$F$5:$F$53,0)),"")</f>
        <v/>
      </c>
      <c r="K24" s="58">
        <f>IFERROR(INDEX('2 Scroll FPS'!$L$5:$L$53,MATCH($A24&amp;"|"&amp;K$6&amp;"|"&amp;$C$3,'2 Scroll FPS'!$F$5:$F$53,0)),"")</f>
        <v/>
      </c>
      <c r="L24" s="58">
        <f>IFERROR(INDEX('2 Scroll FPS'!$L$5:$L$53,MATCH($A24&amp;"|"&amp;L$6&amp;"|"&amp;$C$3,'2 Scroll FPS'!$F$5:$F$53,0)),"")</f>
        <v/>
      </c>
      <c r="M24" s="20">
        <f>IF(COUNT(F24:L24)=0,"",INDEX($F$6:$L$6,MATCH(IF($E24="Lower",MIN(F24:L24),MAX(F24:L24)),F24:L24,0)))</f>
        <v/>
      </c>
      <c r="N24" s="21">
        <f>IF(OR(F24="",COUNT(F24:L24)=0),"",IF($E24="Lower",COUNTIF(F24:L24,"&lt;"&amp;F24),COUNTIF(F24:L24,"&gt;"&amp;F24))+1)</f>
        <v/>
      </c>
      <c r="O24" s="21">
        <f>COUNT(F24:L24)</f>
        <v/>
      </c>
      <c r="P24" s="22">
        <f>IF(OR(F24="",COUNT(F24:L24)&lt;2),"",IF($E24="Lower",IF(MIN(F24:L24)=0,"",(F24-MIN(F24:L24))/MIN(F24:L24)),IF(MAX(F24:L24)=0,"",(MAX(F24:L24)-F24)/MAX(F24:L24))))</f>
        <v/>
      </c>
    </row>
    <row r="25">
      <c r="A25" s="7">
        <f>'Metric Catalogue'!A23</f>
        <v/>
      </c>
      <c r="B25" s="7">
        <f>'Metric Catalogue'!B23</f>
        <v/>
      </c>
      <c r="C25" s="17">
        <f>'Metric Catalogue'!C23</f>
        <v/>
      </c>
      <c r="D25" s="7">
        <f>'Metric Catalogue'!D23</f>
        <v/>
      </c>
      <c r="E25" s="7">
        <f>'Metric Catalogue'!E23</f>
        <v/>
      </c>
      <c r="F25" s="57">
        <f>IFERROR(INDEX('2 Scroll FPS'!$L$5:$L$53,MATCH($A25&amp;"|"&amp;F$6&amp;"|"&amp;$C$3,'2 Scroll FPS'!$F$5:$F$53,0)),"")</f>
        <v/>
      </c>
      <c r="G25" s="58">
        <f>IFERROR(INDEX('2 Scroll FPS'!$L$5:$L$53,MATCH($A25&amp;"|"&amp;G$6&amp;"|"&amp;$C$3,'2 Scroll FPS'!$F$5:$F$53,0)),"")</f>
        <v/>
      </c>
      <c r="H25" s="58">
        <f>IFERROR(INDEX('2 Scroll FPS'!$L$5:$L$53,MATCH($A25&amp;"|"&amp;H$6&amp;"|"&amp;$C$3,'2 Scroll FPS'!$F$5:$F$53,0)),"")</f>
        <v/>
      </c>
      <c r="I25" s="58">
        <f>IFERROR(INDEX('2 Scroll FPS'!$L$5:$L$53,MATCH($A25&amp;"|"&amp;I$6&amp;"|"&amp;$C$3,'2 Scroll FPS'!$F$5:$F$53,0)),"")</f>
        <v/>
      </c>
      <c r="J25" s="58">
        <f>IFERROR(INDEX('2 Scroll FPS'!$L$5:$L$53,MATCH($A25&amp;"|"&amp;J$6&amp;"|"&amp;$C$3,'2 Scroll FPS'!$F$5:$F$53,0)),"")</f>
        <v/>
      </c>
      <c r="K25" s="58">
        <f>IFERROR(INDEX('2 Scroll FPS'!$L$5:$L$53,MATCH($A25&amp;"|"&amp;K$6&amp;"|"&amp;$C$3,'2 Scroll FPS'!$F$5:$F$53,0)),"")</f>
        <v/>
      </c>
      <c r="L25" s="58">
        <f>IFERROR(INDEX('2 Scroll FPS'!$L$5:$L$53,MATCH($A25&amp;"|"&amp;L$6&amp;"|"&amp;$C$3,'2 Scroll FPS'!$F$5:$F$53,0)),"")</f>
        <v/>
      </c>
      <c r="M25" s="20">
        <f>IF(COUNT(F25:L25)=0,"",INDEX($F$6:$L$6,MATCH(IF($E25="Lower",MIN(F25:L25),MAX(F25:L25)),F25:L25,0)))</f>
        <v/>
      </c>
      <c r="N25" s="21">
        <f>IF(OR(F25="",COUNT(F25:L25)=0),"",IF($E25="Lower",COUNTIF(F25:L25,"&lt;"&amp;F25),COUNTIF(F25:L25,"&gt;"&amp;F25))+1)</f>
        <v/>
      </c>
      <c r="O25" s="21">
        <f>COUNT(F25:L25)</f>
        <v/>
      </c>
      <c r="P25" s="22">
        <f>IF(OR(F25="",COUNT(F25:L25)&lt;2),"",IF($E25="Lower",IF(MIN(F25:L25)=0,"",(F25-MIN(F25:L25))/MIN(F25:L25)),IF(MAX(F25:L25)=0,"",(MAX(F25:L25)-F25)/MAX(F25:L25))))</f>
        <v/>
      </c>
    </row>
    <row r="26">
      <c r="A26" s="23">
        <f>'Metric Catalogue'!A24</f>
        <v/>
      </c>
      <c r="B26" s="23">
        <f>'Metric Catalogue'!B24</f>
        <v/>
      </c>
      <c r="C26" s="24">
        <f>'Metric Catalogue'!C24</f>
        <v/>
      </c>
      <c r="D26" s="23">
        <f>'Metric Catalogue'!D24</f>
        <v/>
      </c>
      <c r="E26" s="23">
        <f>'Metric Catalogue'!E24</f>
        <v/>
      </c>
      <c r="F26" s="57">
        <f>IFERROR(INDEX('2 Scroll FPS'!$L$5:$L$53,MATCH($A26&amp;"|"&amp;F$6&amp;"|"&amp;$C$3,'2 Scroll FPS'!$F$5:$F$53,0)),"")</f>
        <v/>
      </c>
      <c r="G26" s="58">
        <f>IFERROR(INDEX('2 Scroll FPS'!$L$5:$L$53,MATCH($A26&amp;"|"&amp;G$6&amp;"|"&amp;$C$3,'2 Scroll FPS'!$F$5:$F$53,0)),"")</f>
        <v/>
      </c>
      <c r="H26" s="58">
        <f>IFERROR(INDEX('2 Scroll FPS'!$L$5:$L$53,MATCH($A26&amp;"|"&amp;H$6&amp;"|"&amp;$C$3,'2 Scroll FPS'!$F$5:$F$53,0)),"")</f>
        <v/>
      </c>
      <c r="I26" s="58">
        <f>IFERROR(INDEX('2 Scroll FPS'!$L$5:$L$53,MATCH($A26&amp;"|"&amp;I$6&amp;"|"&amp;$C$3,'2 Scroll FPS'!$F$5:$F$53,0)),"")</f>
        <v/>
      </c>
      <c r="J26" s="58">
        <f>IFERROR(INDEX('2 Scroll FPS'!$L$5:$L$53,MATCH($A26&amp;"|"&amp;J$6&amp;"|"&amp;$C$3,'2 Scroll FPS'!$F$5:$F$53,0)),"")</f>
        <v/>
      </c>
      <c r="K26" s="58">
        <f>IFERROR(INDEX('2 Scroll FPS'!$L$5:$L$53,MATCH($A26&amp;"|"&amp;K$6&amp;"|"&amp;$C$3,'2 Scroll FPS'!$F$5:$F$53,0)),"")</f>
        <v/>
      </c>
      <c r="L26" s="58">
        <f>IFERROR(INDEX('2 Scroll FPS'!$L$5:$L$53,MATCH($A26&amp;"|"&amp;L$6&amp;"|"&amp;$C$3,'2 Scroll FPS'!$F$5:$F$53,0)),"")</f>
        <v/>
      </c>
      <c r="M26" s="20">
        <f>IF(COUNT(F26:L26)=0,"",INDEX($F$6:$L$6,MATCH(IF($E26="Lower",MIN(F26:L26),MAX(F26:L26)),F26:L26,0)))</f>
        <v/>
      </c>
      <c r="N26" s="21">
        <f>IF(OR(F26="",COUNT(F26:L26)=0),"",IF($E26="Lower",COUNTIF(F26:L26,"&lt;"&amp;F26),COUNTIF(F26:L26,"&gt;"&amp;F26))+1)</f>
        <v/>
      </c>
      <c r="O26" s="21">
        <f>COUNT(F26:L26)</f>
        <v/>
      </c>
      <c r="P26" s="22">
        <f>IF(OR(F26="",COUNT(F26:L26)&lt;2),"",IF($E26="Lower",IF(MIN(F26:L26)=0,"",(F26-MIN(F26:L26))/MIN(F26:L26)),IF(MAX(F26:L26)=0,"",(MAX(F26:L26)-F26)/MAX(F26:L26))))</f>
        <v/>
      </c>
    </row>
    <row r="27">
      <c r="A27" s="7">
        <f>'Metric Catalogue'!A25</f>
        <v/>
      </c>
      <c r="B27" s="7">
        <f>'Metric Catalogue'!B25</f>
        <v/>
      </c>
      <c r="C27" s="17">
        <f>'Metric Catalogue'!C25</f>
        <v/>
      </c>
      <c r="D27" s="7">
        <f>'Metric Catalogue'!D25</f>
        <v/>
      </c>
      <c r="E27" s="7">
        <f>'Metric Catalogue'!E25</f>
        <v/>
      </c>
      <c r="F27" s="57">
        <f>IFERROR(INDEX('2 Scroll FPS'!$L$5:$L$53,MATCH($A27&amp;"|"&amp;F$6&amp;"|"&amp;$C$3,'2 Scroll FPS'!$F$5:$F$53,0)),"")</f>
        <v/>
      </c>
      <c r="G27" s="58">
        <f>IFERROR(INDEX('2 Scroll FPS'!$L$5:$L$53,MATCH($A27&amp;"|"&amp;G$6&amp;"|"&amp;$C$3,'2 Scroll FPS'!$F$5:$F$53,0)),"")</f>
        <v/>
      </c>
      <c r="H27" s="58">
        <f>IFERROR(INDEX('2 Scroll FPS'!$L$5:$L$53,MATCH($A27&amp;"|"&amp;H$6&amp;"|"&amp;$C$3,'2 Scroll FPS'!$F$5:$F$53,0)),"")</f>
        <v/>
      </c>
      <c r="I27" s="58">
        <f>IFERROR(INDEX('2 Scroll FPS'!$L$5:$L$53,MATCH($A27&amp;"|"&amp;I$6&amp;"|"&amp;$C$3,'2 Scroll FPS'!$F$5:$F$53,0)),"")</f>
        <v/>
      </c>
      <c r="J27" s="58">
        <f>IFERROR(INDEX('2 Scroll FPS'!$L$5:$L$53,MATCH($A27&amp;"|"&amp;J$6&amp;"|"&amp;$C$3,'2 Scroll FPS'!$F$5:$F$53,0)),"")</f>
        <v/>
      </c>
      <c r="K27" s="58">
        <f>IFERROR(INDEX('2 Scroll FPS'!$L$5:$L$53,MATCH($A27&amp;"|"&amp;K$6&amp;"|"&amp;$C$3,'2 Scroll FPS'!$F$5:$F$53,0)),"")</f>
        <v/>
      </c>
      <c r="L27" s="58">
        <f>IFERROR(INDEX('2 Scroll FPS'!$L$5:$L$53,MATCH($A27&amp;"|"&amp;L$6&amp;"|"&amp;$C$3,'2 Scroll FPS'!$F$5:$F$53,0)),"")</f>
        <v/>
      </c>
      <c r="M27" s="20">
        <f>IF(COUNT(F27:L27)=0,"",INDEX($F$6:$L$6,MATCH(IF($E27="Lower",MIN(F27:L27),MAX(F27:L27)),F27:L27,0)))</f>
        <v/>
      </c>
      <c r="N27" s="21">
        <f>IF(OR(F27="",COUNT(F27:L27)=0),"",IF($E27="Lower",COUNTIF(F27:L27,"&lt;"&amp;F27),COUNTIF(F27:L27,"&gt;"&amp;F27))+1)</f>
        <v/>
      </c>
      <c r="O27" s="21">
        <f>COUNT(F27:L27)</f>
        <v/>
      </c>
      <c r="P27" s="22">
        <f>IF(OR(F27="",COUNT(F27:L27)&lt;2),"",IF($E27="Lower",IF(MIN(F27:L27)=0,"",(F27-MIN(F27:L27))/MIN(F27:L27)),IF(MAX(F27:L27)=0,"",(MAX(F27:L27)-F27)/MAX(F27:L27))))</f>
        <v/>
      </c>
    </row>
    <row r="28">
      <c r="A28" s="23">
        <f>'Metric Catalogue'!A26</f>
        <v/>
      </c>
      <c r="B28" s="23">
        <f>'Metric Catalogue'!B26</f>
        <v/>
      </c>
      <c r="C28" s="24">
        <f>'Metric Catalogue'!C26</f>
        <v/>
      </c>
      <c r="D28" s="23">
        <f>'Metric Catalogue'!D26</f>
        <v/>
      </c>
      <c r="E28" s="23">
        <f>'Metric Catalogue'!E26</f>
        <v/>
      </c>
      <c r="F28" s="57">
        <f>IFERROR(INDEX('2 Scroll FPS'!$L$5:$L$53,MATCH($A28&amp;"|"&amp;F$6&amp;"|"&amp;$C$3,'2 Scroll FPS'!$F$5:$F$53,0)),"")</f>
        <v/>
      </c>
      <c r="G28" s="58">
        <f>IFERROR(INDEX('2 Scroll FPS'!$L$5:$L$53,MATCH($A28&amp;"|"&amp;G$6&amp;"|"&amp;$C$3,'2 Scroll FPS'!$F$5:$F$53,0)),"")</f>
        <v/>
      </c>
      <c r="H28" s="58">
        <f>IFERROR(INDEX('2 Scroll FPS'!$L$5:$L$53,MATCH($A28&amp;"|"&amp;H$6&amp;"|"&amp;$C$3,'2 Scroll FPS'!$F$5:$F$53,0)),"")</f>
        <v/>
      </c>
      <c r="I28" s="58">
        <f>IFERROR(INDEX('2 Scroll FPS'!$L$5:$L$53,MATCH($A28&amp;"|"&amp;I$6&amp;"|"&amp;$C$3,'2 Scroll FPS'!$F$5:$F$53,0)),"")</f>
        <v/>
      </c>
      <c r="J28" s="58">
        <f>IFERROR(INDEX('2 Scroll FPS'!$L$5:$L$53,MATCH($A28&amp;"|"&amp;J$6&amp;"|"&amp;$C$3,'2 Scroll FPS'!$F$5:$F$53,0)),"")</f>
        <v/>
      </c>
      <c r="K28" s="58">
        <f>IFERROR(INDEX('2 Scroll FPS'!$L$5:$L$53,MATCH($A28&amp;"|"&amp;K$6&amp;"|"&amp;$C$3,'2 Scroll FPS'!$F$5:$F$53,0)),"")</f>
        <v/>
      </c>
      <c r="L28" s="58">
        <f>IFERROR(INDEX('2 Scroll FPS'!$L$5:$L$53,MATCH($A28&amp;"|"&amp;L$6&amp;"|"&amp;$C$3,'2 Scroll FPS'!$F$5:$F$53,0)),"")</f>
        <v/>
      </c>
      <c r="M28" s="20">
        <f>IF(COUNT(F28:L28)=0,"",INDEX($F$6:$L$6,MATCH(IF($E28="Lower",MIN(F28:L28),MAX(F28:L28)),F28:L28,0)))</f>
        <v/>
      </c>
      <c r="N28" s="21">
        <f>IF(OR(F28="",COUNT(F28:L28)=0),"",IF($E28="Lower",COUNTIF(F28:L28,"&lt;"&amp;F28),COUNTIF(F28:L28,"&gt;"&amp;F28))+1)</f>
        <v/>
      </c>
      <c r="O28" s="21">
        <f>COUNT(F28:L28)</f>
        <v/>
      </c>
      <c r="P28" s="22">
        <f>IF(OR(F28="",COUNT(F28:L28)&lt;2),"",IF($E28="Lower",IF(MIN(F28:L28)=0,"",(F28-MIN(F28:L28))/MIN(F28:L28)),IF(MAX(F28:L28)=0,"",(MAX(F28:L28)-F28)/MAX(F28:L28))))</f>
        <v/>
      </c>
    </row>
    <row r="29">
      <c r="A29" s="7">
        <f>'Metric Catalogue'!A27</f>
        <v/>
      </c>
      <c r="B29" s="7">
        <f>'Metric Catalogue'!B27</f>
        <v/>
      </c>
      <c r="C29" s="17">
        <f>'Metric Catalogue'!C27</f>
        <v/>
      </c>
      <c r="D29" s="7">
        <f>'Metric Catalogue'!D27</f>
        <v/>
      </c>
      <c r="E29" s="7">
        <f>'Metric Catalogue'!E27</f>
        <v/>
      </c>
      <c r="F29" s="57">
        <f>IFERROR(INDEX('3 Screen Updates'!$L$5:$L$39,MATCH($A29&amp;"|"&amp;F$6&amp;"|"&amp;$C$3,'3 Screen Updates'!$F$5:$F$39,0)),"")</f>
        <v/>
      </c>
      <c r="G29" s="58">
        <f>IFERROR(INDEX('3 Screen Updates'!$L$5:$L$39,MATCH($A29&amp;"|"&amp;G$6&amp;"|"&amp;$C$3,'3 Screen Updates'!$F$5:$F$39,0)),"")</f>
        <v/>
      </c>
      <c r="H29" s="58">
        <f>IFERROR(INDEX('3 Screen Updates'!$L$5:$L$39,MATCH($A29&amp;"|"&amp;H$6&amp;"|"&amp;$C$3,'3 Screen Updates'!$F$5:$F$39,0)),"")</f>
        <v/>
      </c>
      <c r="I29" s="58">
        <f>IFERROR(INDEX('3 Screen Updates'!$L$5:$L$39,MATCH($A29&amp;"|"&amp;I$6&amp;"|"&amp;$C$3,'3 Screen Updates'!$F$5:$F$39,0)),"")</f>
        <v/>
      </c>
      <c r="J29" s="58">
        <f>IFERROR(INDEX('3 Screen Updates'!$L$5:$L$39,MATCH($A29&amp;"|"&amp;J$6&amp;"|"&amp;$C$3,'3 Screen Updates'!$F$5:$F$39,0)),"")</f>
        <v/>
      </c>
      <c r="K29" s="58">
        <f>IFERROR(INDEX('3 Screen Updates'!$L$5:$L$39,MATCH($A29&amp;"|"&amp;K$6&amp;"|"&amp;$C$3,'3 Screen Updates'!$F$5:$F$39,0)),"")</f>
        <v/>
      </c>
      <c r="L29" s="58">
        <f>IFERROR(INDEX('3 Screen Updates'!$L$5:$L$39,MATCH($A29&amp;"|"&amp;L$6&amp;"|"&amp;$C$3,'3 Screen Updates'!$F$5:$F$39,0)),"")</f>
        <v/>
      </c>
      <c r="M29" s="20">
        <f>IF(COUNT(F29:L29)=0,"",INDEX($F$6:$L$6,MATCH(IF($E29="Lower",MIN(F29:L29),MAX(F29:L29)),F29:L29,0)))</f>
        <v/>
      </c>
      <c r="N29" s="21">
        <f>IF(OR(F29="",COUNT(F29:L29)=0),"",IF($E29="Lower",COUNTIF(F29:L29,"&lt;"&amp;F29),COUNTIF(F29:L29,"&gt;"&amp;F29))+1)</f>
        <v/>
      </c>
      <c r="O29" s="21">
        <f>COUNT(F29:L29)</f>
        <v/>
      </c>
      <c r="P29" s="22">
        <f>IF(OR(F29="",COUNT(F29:L29)&lt;2),"",IF($E29="Lower",IF(MIN(F29:L29)=0,"",(F29-MIN(F29:L29))/MIN(F29:L29)),IF(MAX(F29:L29)=0,"",(MAX(F29:L29)-F29)/MAX(F29:L29))))</f>
        <v/>
      </c>
    </row>
    <row r="30">
      <c r="A30" s="23">
        <f>'Metric Catalogue'!A28</f>
        <v/>
      </c>
      <c r="B30" s="23">
        <f>'Metric Catalogue'!B28</f>
        <v/>
      </c>
      <c r="C30" s="24">
        <f>'Metric Catalogue'!C28</f>
        <v/>
      </c>
      <c r="D30" s="23">
        <f>'Metric Catalogue'!D28</f>
        <v/>
      </c>
      <c r="E30" s="23">
        <f>'Metric Catalogue'!E28</f>
        <v/>
      </c>
      <c r="F30" s="57">
        <f>IFERROR(INDEX('3 Screen Updates'!$L$5:$L$39,MATCH($A30&amp;"|"&amp;F$6&amp;"|"&amp;$C$3,'3 Screen Updates'!$F$5:$F$39,0)),"")</f>
        <v/>
      </c>
      <c r="G30" s="58">
        <f>IFERROR(INDEX('3 Screen Updates'!$L$5:$L$39,MATCH($A30&amp;"|"&amp;G$6&amp;"|"&amp;$C$3,'3 Screen Updates'!$F$5:$F$39,0)),"")</f>
        <v/>
      </c>
      <c r="H30" s="58">
        <f>IFERROR(INDEX('3 Screen Updates'!$L$5:$L$39,MATCH($A30&amp;"|"&amp;H$6&amp;"|"&amp;$C$3,'3 Screen Updates'!$F$5:$F$39,0)),"")</f>
        <v/>
      </c>
      <c r="I30" s="58">
        <f>IFERROR(INDEX('3 Screen Updates'!$L$5:$L$39,MATCH($A30&amp;"|"&amp;I$6&amp;"|"&amp;$C$3,'3 Screen Updates'!$F$5:$F$39,0)),"")</f>
        <v/>
      </c>
      <c r="J30" s="58">
        <f>IFERROR(INDEX('3 Screen Updates'!$L$5:$L$39,MATCH($A30&amp;"|"&amp;J$6&amp;"|"&amp;$C$3,'3 Screen Updates'!$F$5:$F$39,0)),"")</f>
        <v/>
      </c>
      <c r="K30" s="58">
        <f>IFERROR(INDEX('3 Screen Updates'!$L$5:$L$39,MATCH($A30&amp;"|"&amp;K$6&amp;"|"&amp;$C$3,'3 Screen Updates'!$F$5:$F$39,0)),"")</f>
        <v/>
      </c>
      <c r="L30" s="58">
        <f>IFERROR(INDEX('3 Screen Updates'!$L$5:$L$39,MATCH($A30&amp;"|"&amp;L$6&amp;"|"&amp;$C$3,'3 Screen Updates'!$F$5:$F$39,0)),"")</f>
        <v/>
      </c>
      <c r="M30" s="20">
        <f>IF(COUNT(F30:L30)=0,"",INDEX($F$6:$L$6,MATCH(IF($E30="Lower",MIN(F30:L30),MAX(F30:L30)),F30:L30,0)))</f>
        <v/>
      </c>
      <c r="N30" s="21">
        <f>IF(OR(F30="",COUNT(F30:L30)=0),"",IF($E30="Lower",COUNTIF(F30:L30,"&lt;"&amp;F30),COUNTIF(F30:L30,"&gt;"&amp;F30))+1)</f>
        <v/>
      </c>
      <c r="O30" s="21">
        <f>COUNT(F30:L30)</f>
        <v/>
      </c>
      <c r="P30" s="22">
        <f>IF(OR(F30="",COUNT(F30:L30)&lt;2),"",IF($E30="Lower",IF(MIN(F30:L30)=0,"",(F30-MIN(F30:L30))/MIN(F30:L30)),IF(MAX(F30:L30)=0,"",(MAX(F30:L30)-F30)/MAX(F30:L30))))</f>
        <v/>
      </c>
    </row>
    <row r="31">
      <c r="A31" s="7">
        <f>'Metric Catalogue'!A29</f>
        <v/>
      </c>
      <c r="B31" s="7">
        <f>'Metric Catalogue'!B29</f>
        <v/>
      </c>
      <c r="C31" s="17">
        <f>'Metric Catalogue'!C29</f>
        <v/>
      </c>
      <c r="D31" s="7">
        <f>'Metric Catalogue'!D29</f>
        <v/>
      </c>
      <c r="E31" s="7">
        <f>'Metric Catalogue'!E29</f>
        <v/>
      </c>
      <c r="F31" s="57">
        <f>IFERROR(INDEX('3 Screen Updates'!$L$5:$L$39,MATCH($A31&amp;"|"&amp;F$6&amp;"|"&amp;$C$3,'3 Screen Updates'!$F$5:$F$39,0)),"")</f>
        <v/>
      </c>
      <c r="G31" s="58">
        <f>IFERROR(INDEX('3 Screen Updates'!$L$5:$L$39,MATCH($A31&amp;"|"&amp;G$6&amp;"|"&amp;$C$3,'3 Screen Updates'!$F$5:$F$39,0)),"")</f>
        <v/>
      </c>
      <c r="H31" s="58">
        <f>IFERROR(INDEX('3 Screen Updates'!$L$5:$L$39,MATCH($A31&amp;"|"&amp;H$6&amp;"|"&amp;$C$3,'3 Screen Updates'!$F$5:$F$39,0)),"")</f>
        <v/>
      </c>
      <c r="I31" s="58">
        <f>IFERROR(INDEX('3 Screen Updates'!$L$5:$L$39,MATCH($A31&amp;"|"&amp;I$6&amp;"|"&amp;$C$3,'3 Screen Updates'!$F$5:$F$39,0)),"")</f>
        <v/>
      </c>
      <c r="J31" s="58">
        <f>IFERROR(INDEX('3 Screen Updates'!$L$5:$L$39,MATCH($A31&amp;"|"&amp;J$6&amp;"|"&amp;$C$3,'3 Screen Updates'!$F$5:$F$39,0)),"")</f>
        <v/>
      </c>
      <c r="K31" s="58">
        <f>IFERROR(INDEX('3 Screen Updates'!$L$5:$L$39,MATCH($A31&amp;"|"&amp;K$6&amp;"|"&amp;$C$3,'3 Screen Updates'!$F$5:$F$39,0)),"")</f>
        <v/>
      </c>
      <c r="L31" s="58">
        <f>IFERROR(INDEX('3 Screen Updates'!$L$5:$L$39,MATCH($A31&amp;"|"&amp;L$6&amp;"|"&amp;$C$3,'3 Screen Updates'!$F$5:$F$39,0)),"")</f>
        <v/>
      </c>
      <c r="M31" s="20">
        <f>IF(COUNT(F31:L31)=0,"",INDEX($F$6:$L$6,MATCH(IF($E31="Lower",MIN(F31:L31),MAX(F31:L31)),F31:L31,0)))</f>
        <v/>
      </c>
      <c r="N31" s="21">
        <f>IF(OR(F31="",COUNT(F31:L31)=0),"",IF($E31="Lower",COUNTIF(F31:L31,"&lt;"&amp;F31),COUNTIF(F31:L31,"&gt;"&amp;F31))+1)</f>
        <v/>
      </c>
      <c r="O31" s="21">
        <f>COUNT(F31:L31)</f>
        <v/>
      </c>
      <c r="P31" s="22">
        <f>IF(OR(F31="",COUNT(F31:L31)&lt;2),"",IF($E31="Lower",IF(MIN(F31:L31)=0,"",(F31-MIN(F31:L31))/MIN(F31:L31)),IF(MAX(F31:L31)=0,"",(MAX(F31:L31)-F31)/MAX(F31:L31))))</f>
        <v/>
      </c>
    </row>
    <row r="32">
      <c r="A32" s="23">
        <f>'Metric Catalogue'!A30</f>
        <v/>
      </c>
      <c r="B32" s="23">
        <f>'Metric Catalogue'!B30</f>
        <v/>
      </c>
      <c r="C32" s="24">
        <f>'Metric Catalogue'!C30</f>
        <v/>
      </c>
      <c r="D32" s="23">
        <f>'Metric Catalogue'!D30</f>
        <v/>
      </c>
      <c r="E32" s="23">
        <f>'Metric Catalogue'!E30</f>
        <v/>
      </c>
      <c r="F32" s="57">
        <f>IFERROR(INDEX('3 Screen Updates'!$L$5:$L$39,MATCH($A32&amp;"|"&amp;F$6&amp;"|"&amp;$C$3,'3 Screen Updates'!$F$5:$F$39,0)),"")</f>
        <v/>
      </c>
      <c r="G32" s="58">
        <f>IFERROR(INDEX('3 Screen Updates'!$L$5:$L$39,MATCH($A32&amp;"|"&amp;G$6&amp;"|"&amp;$C$3,'3 Screen Updates'!$F$5:$F$39,0)),"")</f>
        <v/>
      </c>
      <c r="H32" s="58">
        <f>IFERROR(INDEX('3 Screen Updates'!$L$5:$L$39,MATCH($A32&amp;"|"&amp;H$6&amp;"|"&amp;$C$3,'3 Screen Updates'!$F$5:$F$39,0)),"")</f>
        <v/>
      </c>
      <c r="I32" s="58">
        <f>IFERROR(INDEX('3 Screen Updates'!$L$5:$L$39,MATCH($A32&amp;"|"&amp;I$6&amp;"|"&amp;$C$3,'3 Screen Updates'!$F$5:$F$39,0)),"")</f>
        <v/>
      </c>
      <c r="J32" s="58">
        <f>IFERROR(INDEX('3 Screen Updates'!$L$5:$L$39,MATCH($A32&amp;"|"&amp;J$6&amp;"|"&amp;$C$3,'3 Screen Updates'!$F$5:$F$39,0)),"")</f>
        <v/>
      </c>
      <c r="K32" s="58">
        <f>IFERROR(INDEX('3 Screen Updates'!$L$5:$L$39,MATCH($A32&amp;"|"&amp;K$6&amp;"|"&amp;$C$3,'3 Screen Updates'!$F$5:$F$39,0)),"")</f>
        <v/>
      </c>
      <c r="L32" s="58">
        <f>IFERROR(INDEX('3 Screen Updates'!$L$5:$L$39,MATCH($A32&amp;"|"&amp;L$6&amp;"|"&amp;$C$3,'3 Screen Updates'!$F$5:$F$39,0)),"")</f>
        <v/>
      </c>
      <c r="M32" s="20">
        <f>IF(COUNT(F32:L32)=0,"",INDEX($F$6:$L$6,MATCH(IF($E32="Lower",MIN(F32:L32),MAX(F32:L32)),F32:L32,0)))</f>
        <v/>
      </c>
      <c r="N32" s="21">
        <f>IF(OR(F32="",COUNT(F32:L32)=0),"",IF($E32="Lower",COUNTIF(F32:L32,"&lt;"&amp;F32),COUNTIF(F32:L32,"&gt;"&amp;F32))+1)</f>
        <v/>
      </c>
      <c r="O32" s="21">
        <f>COUNT(F32:L32)</f>
        <v/>
      </c>
      <c r="P32" s="22">
        <f>IF(OR(F32="",COUNT(F32:L32)&lt;2),"",IF($E32="Lower",IF(MIN(F32:L32)=0,"",(F32-MIN(F32:L32))/MIN(F32:L32)),IF(MAX(F32:L32)=0,"",(MAX(F32:L32)-F32)/MAX(F32:L32))))</f>
        <v/>
      </c>
    </row>
    <row r="33">
      <c r="A33" s="7">
        <f>'Metric Catalogue'!A31</f>
        <v/>
      </c>
      <c r="B33" s="7">
        <f>'Metric Catalogue'!B31</f>
        <v/>
      </c>
      <c r="C33" s="17">
        <f>'Metric Catalogue'!C31</f>
        <v/>
      </c>
      <c r="D33" s="7">
        <f>'Metric Catalogue'!D31</f>
        <v/>
      </c>
      <c r="E33" s="7">
        <f>'Metric Catalogue'!E31</f>
        <v/>
      </c>
      <c r="F33" s="57">
        <f>IFERROR(INDEX('3 Screen Updates'!$L$5:$L$39,MATCH($A33&amp;"|"&amp;F$6&amp;"|"&amp;$C$3,'3 Screen Updates'!$F$5:$F$39,0)),"")</f>
        <v/>
      </c>
      <c r="G33" s="58">
        <f>IFERROR(INDEX('3 Screen Updates'!$L$5:$L$39,MATCH($A33&amp;"|"&amp;G$6&amp;"|"&amp;$C$3,'3 Screen Updates'!$F$5:$F$39,0)),"")</f>
        <v/>
      </c>
      <c r="H33" s="58">
        <f>IFERROR(INDEX('3 Screen Updates'!$L$5:$L$39,MATCH($A33&amp;"|"&amp;H$6&amp;"|"&amp;$C$3,'3 Screen Updates'!$F$5:$F$39,0)),"")</f>
        <v/>
      </c>
      <c r="I33" s="58">
        <f>IFERROR(INDEX('3 Screen Updates'!$L$5:$L$39,MATCH($A33&amp;"|"&amp;I$6&amp;"|"&amp;$C$3,'3 Screen Updates'!$F$5:$F$39,0)),"")</f>
        <v/>
      </c>
      <c r="J33" s="58">
        <f>IFERROR(INDEX('3 Screen Updates'!$L$5:$L$39,MATCH($A33&amp;"|"&amp;J$6&amp;"|"&amp;$C$3,'3 Screen Updates'!$F$5:$F$39,0)),"")</f>
        <v/>
      </c>
      <c r="K33" s="58">
        <f>IFERROR(INDEX('3 Screen Updates'!$L$5:$L$39,MATCH($A33&amp;"|"&amp;K$6&amp;"|"&amp;$C$3,'3 Screen Updates'!$F$5:$F$39,0)),"")</f>
        <v/>
      </c>
      <c r="L33" s="58">
        <f>IFERROR(INDEX('3 Screen Updates'!$L$5:$L$39,MATCH($A33&amp;"|"&amp;L$6&amp;"|"&amp;$C$3,'3 Screen Updates'!$F$5:$F$39,0)),"")</f>
        <v/>
      </c>
      <c r="M33" s="20">
        <f>IF(COUNT(F33:L33)=0,"",INDEX($F$6:$L$6,MATCH(IF($E33="Lower",MIN(F33:L33),MAX(F33:L33)),F33:L33,0)))</f>
        <v/>
      </c>
      <c r="N33" s="21">
        <f>IF(OR(F33="",COUNT(F33:L33)=0),"",IF($E33="Lower",COUNTIF(F33:L33,"&lt;"&amp;F33),COUNTIF(F33:L33,"&gt;"&amp;F33))+1)</f>
        <v/>
      </c>
      <c r="O33" s="21">
        <f>COUNT(F33:L33)</f>
        <v/>
      </c>
      <c r="P33" s="22">
        <f>IF(OR(F33="",COUNT(F33:L33)&lt;2),"",IF($E33="Lower",IF(MIN(F33:L33)=0,"",(F33-MIN(F33:L33))/MIN(F33:L33)),IF(MAX(F33:L33)=0,"",(MAX(F33:L33)-F33)/MAX(F33:L33))))</f>
        <v/>
      </c>
    </row>
    <row r="34">
      <c r="A34" s="23">
        <f>'Metric Catalogue'!A32</f>
        <v/>
      </c>
      <c r="B34" s="23">
        <f>'Metric Catalogue'!B32</f>
        <v/>
      </c>
      <c r="C34" s="24">
        <f>'Metric Catalogue'!C32</f>
        <v/>
      </c>
      <c r="D34" s="23">
        <f>'Metric Catalogue'!D32</f>
        <v/>
      </c>
      <c r="E34" s="23">
        <f>'Metric Catalogue'!E32</f>
        <v/>
      </c>
      <c r="F34" s="25">
        <f>IFERROR(INDEX('4 Offline'!$C$14:$I$14,MATCH(F$6,'4 Offline'!$C$4:$I$4,0)),"")</f>
        <v/>
      </c>
      <c r="G34" s="26">
        <f>IFERROR(INDEX('4 Offline'!$C$14:$I$14,MATCH(G$6,'4 Offline'!$C$4:$I$4,0)),"")</f>
        <v/>
      </c>
      <c r="H34" s="26">
        <f>IFERROR(INDEX('4 Offline'!$C$14:$I$14,MATCH(H$6,'4 Offline'!$C$4:$I$4,0)),"")</f>
        <v/>
      </c>
      <c r="I34" s="26">
        <f>IFERROR(INDEX('4 Offline'!$C$14:$I$14,MATCH(I$6,'4 Offline'!$C$4:$I$4,0)),"")</f>
        <v/>
      </c>
      <c r="J34" s="26">
        <f>IFERROR(INDEX('4 Offline'!$C$14:$I$14,MATCH(J$6,'4 Offline'!$C$4:$I$4,0)),"")</f>
        <v/>
      </c>
      <c r="K34" s="26">
        <f>IFERROR(INDEX('4 Offline'!$C$14:$I$14,MATCH(K$6,'4 Offline'!$C$4:$I$4,0)),"")</f>
        <v/>
      </c>
      <c r="L34" s="26">
        <f>IFERROR(INDEX('4 Offline'!$C$14:$I$14,MATCH(L$6,'4 Offline'!$C$4:$I$4,0)),"")</f>
        <v/>
      </c>
      <c r="M34" s="20">
        <f>IF(COUNT(F34:L34)=0,"",INDEX($F$6:$L$6,MATCH(IF($E34="Lower",MIN(F34:L34),MAX(F34:L34)),F34:L34,0)))</f>
        <v/>
      </c>
      <c r="N34" s="21">
        <f>IF(OR(F34="",COUNT(F34:L34)=0),"",IF($E34="Lower",COUNTIF(F34:L34,"&lt;"&amp;F34),COUNTIF(F34:L34,"&gt;"&amp;F34))+1)</f>
        <v/>
      </c>
      <c r="O34" s="21">
        <f>COUNT(F34:L34)</f>
        <v/>
      </c>
      <c r="P34" s="22">
        <f>IF(OR(F34="",COUNT(F34:L34)&lt;2),"",IF($E34="Lower",IF(MIN(F34:L34)=0,"",(F34-MIN(F34:L34))/MIN(F34:L34)),IF(MAX(F34:L34)=0,"",(MAX(F34:L34)-F34)/MAX(F34:L34))))</f>
        <v/>
      </c>
    </row>
    <row r="35">
      <c r="A35" s="7">
        <f>'Metric Catalogue'!A33</f>
        <v/>
      </c>
      <c r="B35" s="7">
        <f>'Metric Catalogue'!B33</f>
        <v/>
      </c>
      <c r="C35" s="17">
        <f>'Metric Catalogue'!C33</f>
        <v/>
      </c>
      <c r="D35" s="7">
        <f>'Metric Catalogue'!D33</f>
        <v/>
      </c>
      <c r="E35" s="7">
        <f>'Metric Catalogue'!E33</f>
        <v/>
      </c>
      <c r="F35" s="25">
        <f>IFERROR(INDEX('5 Data Pointers'!$D$14:$J$14,MATCH(F$6,'5 Data Pointers'!$D$4:$J$4,0)),"")</f>
        <v/>
      </c>
      <c r="G35" s="26">
        <f>IFERROR(INDEX('5 Data Pointers'!$D$14:$J$14,MATCH(G$6,'5 Data Pointers'!$D$4:$J$4,0)),"")</f>
        <v/>
      </c>
      <c r="H35" s="26">
        <f>IFERROR(INDEX('5 Data Pointers'!$D$14:$J$14,MATCH(H$6,'5 Data Pointers'!$D$4:$J$4,0)),"")</f>
        <v/>
      </c>
      <c r="I35" s="26">
        <f>IFERROR(INDEX('5 Data Pointers'!$D$14:$J$14,MATCH(I$6,'5 Data Pointers'!$D$4:$J$4,0)),"")</f>
        <v/>
      </c>
      <c r="J35" s="26">
        <f>IFERROR(INDEX('5 Data Pointers'!$D$14:$J$14,MATCH(J$6,'5 Data Pointers'!$D$4:$J$4,0)),"")</f>
        <v/>
      </c>
      <c r="K35" s="26">
        <f>IFERROR(INDEX('5 Data Pointers'!$D$14:$J$14,MATCH(K$6,'5 Data Pointers'!$D$4:$J$4,0)),"")</f>
        <v/>
      </c>
      <c r="L35" s="26">
        <f>IFERROR(INDEX('5 Data Pointers'!$D$14:$J$14,MATCH(L$6,'5 Data Pointers'!$D$4:$J$4,0)),"")</f>
        <v/>
      </c>
      <c r="M35" s="20">
        <f>IF(COUNT(F35:L35)=0,"",INDEX($F$6:$L$6,MATCH(IF($E35="Lower",MIN(F35:L35),MAX(F35:L35)),F35:L35,0)))</f>
        <v/>
      </c>
      <c r="N35" s="21">
        <f>IF(OR(F35="",COUNT(F35:L35)=0),"",IF($E35="Lower",COUNTIF(F35:L35,"&lt;"&amp;F35),COUNTIF(F35:L35,"&gt;"&amp;F35))+1)</f>
        <v/>
      </c>
      <c r="O35" s="21">
        <f>COUNT(F35:L35)</f>
        <v/>
      </c>
      <c r="P35" s="22">
        <f>IF(OR(F35="",COUNT(F35:L35)&lt;2),"",IF($E35="Lower",IF(MIN(F35:L35)=0,"",(F35-MIN(F35:L35))/MIN(F35:L35)),IF(MAX(F35:L35)=0,"",(MAX(F35:L35)-F35)/MAX(F35:L35))))</f>
        <v/>
      </c>
    </row>
    <row r="36">
      <c r="A36" s="23">
        <f>'Metric Catalogue'!A34</f>
        <v/>
      </c>
      <c r="B36" s="23">
        <f>'Metric Catalogue'!B34</f>
        <v/>
      </c>
      <c r="C36" s="24">
        <f>'Metric Catalogue'!C34</f>
        <v/>
      </c>
      <c r="D36" s="23">
        <f>'Metric Catalogue'!D34</f>
        <v/>
      </c>
      <c r="E36" s="23">
        <f>'Metric Catalogue'!E34</f>
        <v/>
      </c>
      <c r="F36" s="57">
        <f>IFERROR(IF(INDEX('6 SDKs'!$B$5:$B$11,MATCH(F$6,'6 SDKs'!$A$5:$A$11,0))="","",INDEX('6 SDKs'!$B$5:$B$11,MATCH(F$6,'6 SDKs'!$A$5:$A$11,0))),"")</f>
        <v/>
      </c>
      <c r="G36" s="58">
        <f>IFERROR(IF(INDEX('6 SDKs'!$B$5:$B$11,MATCH(G$6,'6 SDKs'!$A$5:$A$11,0))="","",INDEX('6 SDKs'!$B$5:$B$11,MATCH(G$6,'6 SDKs'!$A$5:$A$11,0))),"")</f>
        <v/>
      </c>
      <c r="H36" s="58">
        <f>IFERROR(IF(INDEX('6 SDKs'!$B$5:$B$11,MATCH(H$6,'6 SDKs'!$A$5:$A$11,0))="","",INDEX('6 SDKs'!$B$5:$B$11,MATCH(H$6,'6 SDKs'!$A$5:$A$11,0))),"")</f>
        <v/>
      </c>
      <c r="I36" s="58">
        <f>IFERROR(IF(INDEX('6 SDKs'!$B$5:$B$11,MATCH(I$6,'6 SDKs'!$A$5:$A$11,0))="","",INDEX('6 SDKs'!$B$5:$B$11,MATCH(I$6,'6 SDKs'!$A$5:$A$11,0))),"")</f>
        <v/>
      </c>
      <c r="J36" s="58">
        <f>IFERROR(IF(INDEX('6 SDKs'!$B$5:$B$11,MATCH(J$6,'6 SDKs'!$A$5:$A$11,0))="","",INDEX('6 SDKs'!$B$5:$B$11,MATCH(J$6,'6 SDKs'!$A$5:$A$11,0))),"")</f>
        <v/>
      </c>
      <c r="K36" s="58">
        <f>IFERROR(IF(INDEX('6 SDKs'!$B$5:$B$11,MATCH(K$6,'6 SDKs'!$A$5:$A$11,0))="","",INDEX('6 SDKs'!$B$5:$B$11,MATCH(K$6,'6 SDKs'!$A$5:$A$11,0))),"")</f>
        <v/>
      </c>
      <c r="L36" s="58">
        <f>IFERROR(IF(INDEX('6 SDKs'!$B$5:$B$11,MATCH(L$6,'6 SDKs'!$A$5:$A$11,0))="","",INDEX('6 SDKs'!$B$5:$B$11,MATCH(L$6,'6 SDKs'!$A$5:$A$11,0))),"")</f>
        <v/>
      </c>
      <c r="M36" s="20">
        <f>IF(COUNT(F36:L36)=0,"",INDEX($F$6:$L$6,MATCH(IF($E36="Lower",MIN(F36:L36),MAX(F36:L36)),F36:L36,0)))</f>
        <v/>
      </c>
      <c r="N36" s="21">
        <f>IF(OR(F36="",COUNT(F36:L36)=0),"",IF($E36="Lower",COUNTIF(F36:L36,"&lt;"&amp;F36),COUNTIF(F36:L36,"&gt;"&amp;F36))+1)</f>
        <v/>
      </c>
      <c r="O36" s="21">
        <f>COUNT(F36:L36)</f>
        <v/>
      </c>
      <c r="P36" s="22">
        <f>IF(OR(F36="",COUNT(F36:L36)&lt;2),"",IF($E36="Lower",IF(MIN(F36:L36)=0,"",(F36-MIN(F36:L36))/MIN(F36:L36)),IF(MAX(F36:L36)=0,"",(MAX(F36:L36)-F36)/MAX(F36:L36))))</f>
        <v/>
      </c>
    </row>
    <row r="37">
      <c r="A37" s="7">
        <f>'Metric Catalogue'!A35</f>
        <v/>
      </c>
      <c r="B37" s="7">
        <f>'Metric Catalogue'!B35</f>
        <v/>
      </c>
      <c r="C37" s="17">
        <f>'Metric Catalogue'!C35</f>
        <v/>
      </c>
      <c r="D37" s="7">
        <f>'Metric Catalogue'!D35</f>
        <v/>
      </c>
      <c r="E37" s="7">
        <f>'Metric Catalogue'!E35</f>
        <v/>
      </c>
      <c r="F37" s="57">
        <f>IFERROR(IF(INDEX('6 SDKs'!$C$5:$C$11,MATCH(F$6,'6 SDKs'!$A$5:$A$11,0))="","",INDEX('6 SDKs'!$C$5:$C$11,MATCH(F$6,'6 SDKs'!$A$5:$A$11,0))),"")</f>
        <v/>
      </c>
      <c r="G37" s="58">
        <f>IFERROR(IF(INDEX('6 SDKs'!$C$5:$C$11,MATCH(G$6,'6 SDKs'!$A$5:$A$11,0))="","",INDEX('6 SDKs'!$C$5:$C$11,MATCH(G$6,'6 SDKs'!$A$5:$A$11,0))),"")</f>
        <v/>
      </c>
      <c r="H37" s="58">
        <f>IFERROR(IF(INDEX('6 SDKs'!$C$5:$C$11,MATCH(H$6,'6 SDKs'!$A$5:$A$11,0))="","",INDEX('6 SDKs'!$C$5:$C$11,MATCH(H$6,'6 SDKs'!$A$5:$A$11,0))),"")</f>
        <v/>
      </c>
      <c r="I37" s="58">
        <f>IFERROR(IF(INDEX('6 SDKs'!$C$5:$C$11,MATCH(I$6,'6 SDKs'!$A$5:$A$11,0))="","",INDEX('6 SDKs'!$C$5:$C$11,MATCH(I$6,'6 SDKs'!$A$5:$A$11,0))),"")</f>
        <v/>
      </c>
      <c r="J37" s="58">
        <f>IFERROR(IF(INDEX('6 SDKs'!$C$5:$C$11,MATCH(J$6,'6 SDKs'!$A$5:$A$11,0))="","",INDEX('6 SDKs'!$C$5:$C$11,MATCH(J$6,'6 SDKs'!$A$5:$A$11,0))),"")</f>
        <v/>
      </c>
      <c r="K37" s="58">
        <f>IFERROR(IF(INDEX('6 SDKs'!$C$5:$C$11,MATCH(K$6,'6 SDKs'!$A$5:$A$11,0))="","",INDEX('6 SDKs'!$C$5:$C$11,MATCH(K$6,'6 SDKs'!$A$5:$A$11,0))),"")</f>
        <v/>
      </c>
      <c r="L37" s="58">
        <f>IFERROR(IF(INDEX('6 SDKs'!$C$5:$C$11,MATCH(L$6,'6 SDKs'!$A$5:$A$11,0))="","",INDEX('6 SDKs'!$C$5:$C$11,MATCH(L$6,'6 SDKs'!$A$5:$A$11,0))),"")</f>
        <v/>
      </c>
      <c r="M37" s="20">
        <f>IF(COUNT(F37:L37)=0,"",INDEX($F$6:$L$6,MATCH(IF($E37="Lower",MIN(F37:L37),MAX(F37:L37)),F37:L37,0)))</f>
        <v/>
      </c>
      <c r="N37" s="21">
        <f>IF(OR(F37="",COUNT(F37:L37)=0),"",IF($E37="Lower",COUNTIF(F37:L37,"&lt;"&amp;F37),COUNTIF(F37:L37,"&gt;"&amp;F37))+1)</f>
        <v/>
      </c>
      <c r="O37" s="21">
        <f>COUNT(F37:L37)</f>
        <v/>
      </c>
      <c r="P37" s="22">
        <f>IF(OR(F37="",COUNT(F37:L37)&lt;2),"",IF($E37="Lower",IF(MIN(F37:L37)=0,"",(F37-MIN(F37:L37))/MIN(F37:L37)),IF(MAX(F37:L37)=0,"",(MAX(F37:L37)-F37)/MAX(F37:L37))))</f>
        <v/>
      </c>
    </row>
    <row r="38">
      <c r="A38" s="23">
        <f>'Metric Catalogue'!A36</f>
        <v/>
      </c>
      <c r="B38" s="23">
        <f>'Metric Catalogue'!B36</f>
        <v/>
      </c>
      <c r="C38" s="24">
        <f>'Metric Catalogue'!C36</f>
        <v/>
      </c>
      <c r="D38" s="23">
        <f>'Metric Catalogue'!D36</f>
        <v/>
      </c>
      <c r="E38" s="23">
        <f>'Metric Catalogue'!E36</f>
        <v/>
      </c>
      <c r="F38" s="57">
        <f>IFERROR(IF(INDEX('6 SDKs'!$D$5:$D$11,MATCH(F$6,'6 SDKs'!$A$5:$A$11,0))="","",INDEX('6 SDKs'!$D$5:$D$11,MATCH(F$6,'6 SDKs'!$A$5:$A$11,0))),"")</f>
        <v/>
      </c>
      <c r="G38" s="58">
        <f>IFERROR(IF(INDEX('6 SDKs'!$D$5:$D$11,MATCH(G$6,'6 SDKs'!$A$5:$A$11,0))="","",INDEX('6 SDKs'!$D$5:$D$11,MATCH(G$6,'6 SDKs'!$A$5:$A$11,0))),"")</f>
        <v/>
      </c>
      <c r="H38" s="58">
        <f>IFERROR(IF(INDEX('6 SDKs'!$D$5:$D$11,MATCH(H$6,'6 SDKs'!$A$5:$A$11,0))="","",INDEX('6 SDKs'!$D$5:$D$11,MATCH(H$6,'6 SDKs'!$A$5:$A$11,0))),"")</f>
        <v/>
      </c>
      <c r="I38" s="58">
        <f>IFERROR(IF(INDEX('6 SDKs'!$D$5:$D$11,MATCH(I$6,'6 SDKs'!$A$5:$A$11,0))="","",INDEX('6 SDKs'!$D$5:$D$11,MATCH(I$6,'6 SDKs'!$A$5:$A$11,0))),"")</f>
        <v/>
      </c>
      <c r="J38" s="58">
        <f>IFERROR(IF(INDEX('6 SDKs'!$D$5:$D$11,MATCH(J$6,'6 SDKs'!$A$5:$A$11,0))="","",INDEX('6 SDKs'!$D$5:$D$11,MATCH(J$6,'6 SDKs'!$A$5:$A$11,0))),"")</f>
        <v/>
      </c>
      <c r="K38" s="58">
        <f>IFERROR(IF(INDEX('6 SDKs'!$D$5:$D$11,MATCH(K$6,'6 SDKs'!$A$5:$A$11,0))="","",INDEX('6 SDKs'!$D$5:$D$11,MATCH(K$6,'6 SDKs'!$A$5:$A$11,0))),"")</f>
        <v/>
      </c>
      <c r="L38" s="58">
        <f>IFERROR(IF(INDEX('6 SDKs'!$D$5:$D$11,MATCH(L$6,'6 SDKs'!$A$5:$A$11,0))="","",INDEX('6 SDKs'!$D$5:$D$11,MATCH(L$6,'6 SDKs'!$A$5:$A$11,0))),"")</f>
        <v/>
      </c>
      <c r="M38" s="20">
        <f>IF(COUNT(F38:L38)=0,"",INDEX($F$6:$L$6,MATCH(IF($E38="Lower",MIN(F38:L38),MAX(F38:L38)),F38:L38,0)))</f>
        <v/>
      </c>
      <c r="N38" s="21">
        <f>IF(OR(F38="",COUNT(F38:L38)=0),"",IF($E38="Lower",COUNTIF(F38:L38,"&lt;"&amp;F38),COUNTIF(F38:L38,"&gt;"&amp;F38))+1)</f>
        <v/>
      </c>
      <c r="O38" s="21">
        <f>COUNT(F38:L38)</f>
        <v/>
      </c>
      <c r="P38" s="22">
        <f>IF(OR(F38="",COUNT(F38:L38)&lt;2),"",IF($E38="Lower",IF(MIN(F38:L38)=0,"",(F38-MIN(F38:L38))/MIN(F38:L38)),IF(MAX(F38:L38)=0,"",(MAX(F38:L38)-F38)/MAX(F38:L38))))</f>
        <v/>
      </c>
    </row>
    <row r="39">
      <c r="A39" s="7">
        <f>'Metric Catalogue'!A37</f>
        <v/>
      </c>
      <c r="B39" s="7">
        <f>'Metric Catalogue'!B37</f>
        <v/>
      </c>
      <c r="C39" s="17">
        <f>'Metric Catalogue'!C37</f>
        <v/>
      </c>
      <c r="D39" s="7">
        <f>'Metric Catalogue'!D37</f>
        <v/>
      </c>
      <c r="E39" s="7">
        <f>'Metric Catalogue'!E37</f>
        <v/>
      </c>
      <c r="F39" s="57">
        <f>IFERROR(IF(INDEX('6 SDKs'!$E$5:$E$11,MATCH(F$6,'6 SDKs'!$A$5:$A$11,0))="","",INDEX('6 SDKs'!$E$5:$E$11,MATCH(F$6,'6 SDKs'!$A$5:$A$11,0))),"")</f>
        <v/>
      </c>
      <c r="G39" s="58">
        <f>IFERROR(IF(INDEX('6 SDKs'!$E$5:$E$11,MATCH(G$6,'6 SDKs'!$A$5:$A$11,0))="","",INDEX('6 SDKs'!$E$5:$E$11,MATCH(G$6,'6 SDKs'!$A$5:$A$11,0))),"")</f>
        <v/>
      </c>
      <c r="H39" s="58">
        <f>IFERROR(IF(INDEX('6 SDKs'!$E$5:$E$11,MATCH(H$6,'6 SDKs'!$A$5:$A$11,0))="","",INDEX('6 SDKs'!$E$5:$E$11,MATCH(H$6,'6 SDKs'!$A$5:$A$11,0))),"")</f>
        <v/>
      </c>
      <c r="I39" s="58">
        <f>IFERROR(IF(INDEX('6 SDKs'!$E$5:$E$11,MATCH(I$6,'6 SDKs'!$A$5:$A$11,0))="","",INDEX('6 SDKs'!$E$5:$E$11,MATCH(I$6,'6 SDKs'!$A$5:$A$11,0))),"")</f>
        <v/>
      </c>
      <c r="J39" s="58">
        <f>IFERROR(IF(INDEX('6 SDKs'!$E$5:$E$11,MATCH(J$6,'6 SDKs'!$A$5:$A$11,0))="","",INDEX('6 SDKs'!$E$5:$E$11,MATCH(J$6,'6 SDKs'!$A$5:$A$11,0))),"")</f>
        <v/>
      </c>
      <c r="K39" s="58">
        <f>IFERROR(IF(INDEX('6 SDKs'!$E$5:$E$11,MATCH(K$6,'6 SDKs'!$A$5:$A$11,0))="","",INDEX('6 SDKs'!$E$5:$E$11,MATCH(K$6,'6 SDKs'!$A$5:$A$11,0))),"")</f>
        <v/>
      </c>
      <c r="L39" s="58">
        <f>IFERROR(IF(INDEX('6 SDKs'!$E$5:$E$11,MATCH(L$6,'6 SDKs'!$A$5:$A$11,0))="","",INDEX('6 SDKs'!$E$5:$E$11,MATCH(L$6,'6 SDKs'!$A$5:$A$11,0))),"")</f>
        <v/>
      </c>
      <c r="M39" s="20">
        <f>IF(COUNT(F39:L39)=0,"",INDEX($F$6:$L$6,MATCH(IF($E39="Lower",MIN(F39:L39),MAX(F39:L39)),F39:L39,0)))</f>
        <v/>
      </c>
      <c r="N39" s="21">
        <f>IF(OR(F39="",COUNT(F39:L39)=0),"",IF($E39="Lower",COUNTIF(F39:L39,"&lt;"&amp;F39),COUNTIF(F39:L39,"&gt;"&amp;F39))+1)</f>
        <v/>
      </c>
      <c r="O39" s="21">
        <f>COUNT(F39:L39)</f>
        <v/>
      </c>
      <c r="P39" s="22">
        <f>IF(OR(F39="",COUNT(F39:L39)&lt;2),"",IF($E39="Lower",IF(MIN(F39:L39)=0,"",(F39-MIN(F39:L39))/MIN(F39:L39)),IF(MAX(F39:L39)=0,"",(MAX(F39:L39)-F39)/MAX(F39:L39))))</f>
        <v/>
      </c>
    </row>
    <row r="40">
      <c r="A40" s="23">
        <f>'Metric Catalogue'!A38</f>
        <v/>
      </c>
      <c r="B40" s="23">
        <f>'Metric Catalogue'!B38</f>
        <v/>
      </c>
      <c r="C40" s="24">
        <f>'Metric Catalogue'!C38</f>
        <v/>
      </c>
      <c r="D40" s="23">
        <f>'Metric Catalogue'!D38</f>
        <v/>
      </c>
      <c r="E40" s="23">
        <f>'Metric Catalogue'!E38</f>
        <v/>
      </c>
      <c r="F40" s="57">
        <f>IFERROR(INDEX('7 RAM &amp; Storage'!$L$5:$L$67,MATCH($A40&amp;"|"&amp;F$6&amp;"|"&amp;$C$3,'7 RAM &amp; Storage'!$F$5:$F$67,0)),"")</f>
        <v/>
      </c>
      <c r="G40" s="58">
        <f>IFERROR(INDEX('7 RAM &amp; Storage'!$L$5:$L$67,MATCH($A40&amp;"|"&amp;G$6&amp;"|"&amp;$C$3,'7 RAM &amp; Storage'!$F$5:$F$67,0)),"")</f>
        <v/>
      </c>
      <c r="H40" s="58">
        <f>IFERROR(INDEX('7 RAM &amp; Storage'!$L$5:$L$67,MATCH($A40&amp;"|"&amp;H$6&amp;"|"&amp;$C$3,'7 RAM &amp; Storage'!$F$5:$F$67,0)),"")</f>
        <v/>
      </c>
      <c r="I40" s="58">
        <f>IFERROR(INDEX('7 RAM &amp; Storage'!$L$5:$L$67,MATCH($A40&amp;"|"&amp;I$6&amp;"|"&amp;$C$3,'7 RAM &amp; Storage'!$F$5:$F$67,0)),"")</f>
        <v/>
      </c>
      <c r="J40" s="58">
        <f>IFERROR(INDEX('7 RAM &amp; Storage'!$L$5:$L$67,MATCH($A40&amp;"|"&amp;J$6&amp;"|"&amp;$C$3,'7 RAM &amp; Storage'!$F$5:$F$67,0)),"")</f>
        <v/>
      </c>
      <c r="K40" s="58">
        <f>IFERROR(INDEX('7 RAM &amp; Storage'!$L$5:$L$67,MATCH($A40&amp;"|"&amp;K$6&amp;"|"&amp;$C$3,'7 RAM &amp; Storage'!$F$5:$F$67,0)),"")</f>
        <v/>
      </c>
      <c r="L40" s="58">
        <f>IFERROR(INDEX('7 RAM &amp; Storage'!$L$5:$L$67,MATCH($A40&amp;"|"&amp;L$6&amp;"|"&amp;$C$3,'7 RAM &amp; Storage'!$F$5:$F$67,0)),"")</f>
        <v/>
      </c>
      <c r="M40" s="20">
        <f>IF(COUNT(F40:L40)=0,"",INDEX($F$6:$L$6,MATCH(IF($E40="Lower",MIN(F40:L40),MAX(F40:L40)),F40:L40,0)))</f>
        <v/>
      </c>
      <c r="N40" s="21">
        <f>IF(OR(F40="",COUNT(F40:L40)=0),"",IF($E40="Lower",COUNTIF(F40:L40,"&lt;"&amp;F40),COUNTIF(F40:L40,"&gt;"&amp;F40))+1)</f>
        <v/>
      </c>
      <c r="O40" s="21">
        <f>COUNT(F40:L40)</f>
        <v/>
      </c>
      <c r="P40" s="22">
        <f>IF(OR(F40="",COUNT(F40:L40)&lt;2),"",IF($E40="Lower",IF(MIN(F40:L40)=0,"",(F40-MIN(F40:L40))/MIN(F40:L40)),IF(MAX(F40:L40)=0,"",(MAX(F40:L40)-F40)/MAX(F40:L40))))</f>
        <v/>
      </c>
    </row>
    <row r="41">
      <c r="A41" s="7">
        <f>'Metric Catalogue'!A39</f>
        <v/>
      </c>
      <c r="B41" s="7">
        <f>'Metric Catalogue'!B39</f>
        <v/>
      </c>
      <c r="C41" s="17">
        <f>'Metric Catalogue'!C39</f>
        <v/>
      </c>
      <c r="D41" s="7">
        <f>'Metric Catalogue'!D39</f>
        <v/>
      </c>
      <c r="E41" s="7">
        <f>'Metric Catalogue'!E39</f>
        <v/>
      </c>
      <c r="F41" s="57">
        <f>IFERROR(INDEX('7 RAM &amp; Storage'!$L$5:$L$67,MATCH($A41&amp;"|"&amp;F$6&amp;"|"&amp;$C$3,'7 RAM &amp; Storage'!$F$5:$F$67,0)),"")</f>
        <v/>
      </c>
      <c r="G41" s="58">
        <f>IFERROR(INDEX('7 RAM &amp; Storage'!$L$5:$L$67,MATCH($A41&amp;"|"&amp;G$6&amp;"|"&amp;$C$3,'7 RAM &amp; Storage'!$F$5:$F$67,0)),"")</f>
        <v/>
      </c>
      <c r="H41" s="58">
        <f>IFERROR(INDEX('7 RAM &amp; Storage'!$L$5:$L$67,MATCH($A41&amp;"|"&amp;H$6&amp;"|"&amp;$C$3,'7 RAM &amp; Storage'!$F$5:$F$67,0)),"")</f>
        <v/>
      </c>
      <c r="I41" s="58">
        <f>IFERROR(INDEX('7 RAM &amp; Storage'!$L$5:$L$67,MATCH($A41&amp;"|"&amp;I$6&amp;"|"&amp;$C$3,'7 RAM &amp; Storage'!$F$5:$F$67,0)),"")</f>
        <v/>
      </c>
      <c r="J41" s="58">
        <f>IFERROR(INDEX('7 RAM &amp; Storage'!$L$5:$L$67,MATCH($A41&amp;"|"&amp;J$6&amp;"|"&amp;$C$3,'7 RAM &amp; Storage'!$F$5:$F$67,0)),"")</f>
        <v/>
      </c>
      <c r="K41" s="58">
        <f>IFERROR(INDEX('7 RAM &amp; Storage'!$L$5:$L$67,MATCH($A41&amp;"|"&amp;K$6&amp;"|"&amp;$C$3,'7 RAM &amp; Storage'!$F$5:$F$67,0)),"")</f>
        <v/>
      </c>
      <c r="L41" s="58">
        <f>IFERROR(INDEX('7 RAM &amp; Storage'!$L$5:$L$67,MATCH($A41&amp;"|"&amp;L$6&amp;"|"&amp;$C$3,'7 RAM &amp; Storage'!$F$5:$F$67,0)),"")</f>
        <v/>
      </c>
      <c r="M41" s="20">
        <f>IF(COUNT(F41:L41)=0,"",INDEX($F$6:$L$6,MATCH(IF($E41="Lower",MIN(F41:L41),MAX(F41:L41)),F41:L41,0)))</f>
        <v/>
      </c>
      <c r="N41" s="21">
        <f>IF(OR(F41="",COUNT(F41:L41)=0),"",IF($E41="Lower",COUNTIF(F41:L41,"&lt;"&amp;F41),COUNTIF(F41:L41,"&gt;"&amp;F41))+1)</f>
        <v/>
      </c>
      <c r="O41" s="21">
        <f>COUNT(F41:L41)</f>
        <v/>
      </c>
      <c r="P41" s="22">
        <f>IF(OR(F41="",COUNT(F41:L41)&lt;2),"",IF($E41="Lower",IF(MIN(F41:L41)=0,"",(F41-MIN(F41:L41))/MIN(F41:L41)),IF(MAX(F41:L41)=0,"",(MAX(F41:L41)-F41)/MAX(F41:L41))))</f>
        <v/>
      </c>
    </row>
    <row r="42">
      <c r="A42" s="23">
        <f>'Metric Catalogue'!A40</f>
        <v/>
      </c>
      <c r="B42" s="23">
        <f>'Metric Catalogue'!B40</f>
        <v/>
      </c>
      <c r="C42" s="24">
        <f>'Metric Catalogue'!C40</f>
        <v/>
      </c>
      <c r="D42" s="23">
        <f>'Metric Catalogue'!D40</f>
        <v/>
      </c>
      <c r="E42" s="23">
        <f>'Metric Catalogue'!E40</f>
        <v/>
      </c>
      <c r="F42" s="57">
        <f>IFERROR(INDEX('7 RAM &amp; Storage'!$L$5:$L$67,MATCH($A42&amp;"|"&amp;F$6&amp;"|"&amp;$C$3,'7 RAM &amp; Storage'!$F$5:$F$67,0)),"")</f>
        <v/>
      </c>
      <c r="G42" s="58">
        <f>IFERROR(INDEX('7 RAM &amp; Storage'!$L$5:$L$67,MATCH($A42&amp;"|"&amp;G$6&amp;"|"&amp;$C$3,'7 RAM &amp; Storage'!$F$5:$F$67,0)),"")</f>
        <v/>
      </c>
      <c r="H42" s="58">
        <f>IFERROR(INDEX('7 RAM &amp; Storage'!$L$5:$L$67,MATCH($A42&amp;"|"&amp;H$6&amp;"|"&amp;$C$3,'7 RAM &amp; Storage'!$F$5:$F$67,0)),"")</f>
        <v/>
      </c>
      <c r="I42" s="58">
        <f>IFERROR(INDEX('7 RAM &amp; Storage'!$L$5:$L$67,MATCH($A42&amp;"|"&amp;I$6&amp;"|"&amp;$C$3,'7 RAM &amp; Storage'!$F$5:$F$67,0)),"")</f>
        <v/>
      </c>
      <c r="J42" s="58">
        <f>IFERROR(INDEX('7 RAM &amp; Storage'!$L$5:$L$67,MATCH($A42&amp;"|"&amp;J$6&amp;"|"&amp;$C$3,'7 RAM &amp; Storage'!$F$5:$F$67,0)),"")</f>
        <v/>
      </c>
      <c r="K42" s="58">
        <f>IFERROR(INDEX('7 RAM &amp; Storage'!$L$5:$L$67,MATCH($A42&amp;"|"&amp;K$6&amp;"|"&amp;$C$3,'7 RAM &amp; Storage'!$F$5:$F$67,0)),"")</f>
        <v/>
      </c>
      <c r="L42" s="58">
        <f>IFERROR(INDEX('7 RAM &amp; Storage'!$L$5:$L$67,MATCH($A42&amp;"|"&amp;L$6&amp;"|"&amp;$C$3,'7 RAM &amp; Storage'!$F$5:$F$67,0)),"")</f>
        <v/>
      </c>
      <c r="M42" s="20">
        <f>IF(COUNT(F42:L42)=0,"",INDEX($F$6:$L$6,MATCH(IF($E42="Lower",MIN(F42:L42),MAX(F42:L42)),F42:L42,0)))</f>
        <v/>
      </c>
      <c r="N42" s="21">
        <f>IF(OR(F42="",COUNT(F42:L42)=0),"",IF($E42="Lower",COUNTIF(F42:L42,"&lt;"&amp;F42),COUNTIF(F42:L42,"&gt;"&amp;F42))+1)</f>
        <v/>
      </c>
      <c r="O42" s="21">
        <f>COUNT(F42:L42)</f>
        <v/>
      </c>
      <c r="P42" s="22">
        <f>IF(OR(F42="",COUNT(F42:L42)&lt;2),"",IF($E42="Lower",IF(MIN(F42:L42)=0,"",(F42-MIN(F42:L42))/MIN(F42:L42)),IF(MAX(F42:L42)=0,"",(MAX(F42:L42)-F42)/MAX(F42:L42))))</f>
        <v/>
      </c>
    </row>
    <row r="43">
      <c r="A43" s="7">
        <f>'Metric Catalogue'!A41</f>
        <v/>
      </c>
      <c r="B43" s="7">
        <f>'Metric Catalogue'!B41</f>
        <v/>
      </c>
      <c r="C43" s="17">
        <f>'Metric Catalogue'!C41</f>
        <v/>
      </c>
      <c r="D43" s="7">
        <f>'Metric Catalogue'!D41</f>
        <v/>
      </c>
      <c r="E43" s="7">
        <f>'Metric Catalogue'!E41</f>
        <v/>
      </c>
      <c r="F43" s="57">
        <f>IFERROR(INDEX('7 RAM &amp; Storage'!$L$5:$L$67,MATCH($A43&amp;"|"&amp;F$6&amp;"|"&amp;$C$3,'7 RAM &amp; Storage'!$F$5:$F$67,0)),"")</f>
        <v/>
      </c>
      <c r="G43" s="58">
        <f>IFERROR(INDEX('7 RAM &amp; Storage'!$L$5:$L$67,MATCH($A43&amp;"|"&amp;G$6&amp;"|"&amp;$C$3,'7 RAM &amp; Storage'!$F$5:$F$67,0)),"")</f>
        <v/>
      </c>
      <c r="H43" s="58">
        <f>IFERROR(INDEX('7 RAM &amp; Storage'!$L$5:$L$67,MATCH($A43&amp;"|"&amp;H$6&amp;"|"&amp;$C$3,'7 RAM &amp; Storage'!$F$5:$F$67,0)),"")</f>
        <v/>
      </c>
      <c r="I43" s="58">
        <f>IFERROR(INDEX('7 RAM &amp; Storage'!$L$5:$L$67,MATCH($A43&amp;"|"&amp;I$6&amp;"|"&amp;$C$3,'7 RAM &amp; Storage'!$F$5:$F$67,0)),"")</f>
        <v/>
      </c>
      <c r="J43" s="58">
        <f>IFERROR(INDEX('7 RAM &amp; Storage'!$L$5:$L$67,MATCH($A43&amp;"|"&amp;J$6&amp;"|"&amp;$C$3,'7 RAM &amp; Storage'!$F$5:$F$67,0)),"")</f>
        <v/>
      </c>
      <c r="K43" s="58">
        <f>IFERROR(INDEX('7 RAM &amp; Storage'!$L$5:$L$67,MATCH($A43&amp;"|"&amp;K$6&amp;"|"&amp;$C$3,'7 RAM &amp; Storage'!$F$5:$F$67,0)),"")</f>
        <v/>
      </c>
      <c r="L43" s="58">
        <f>IFERROR(INDEX('7 RAM &amp; Storage'!$L$5:$L$67,MATCH($A43&amp;"|"&amp;L$6&amp;"|"&amp;$C$3,'7 RAM &amp; Storage'!$F$5:$F$67,0)),"")</f>
        <v/>
      </c>
      <c r="M43" s="20">
        <f>IF(COUNT(F43:L43)=0,"",INDEX($F$6:$L$6,MATCH(IF($E43="Lower",MIN(F43:L43),MAX(F43:L43)),F43:L43,0)))</f>
        <v/>
      </c>
      <c r="N43" s="21">
        <f>IF(OR(F43="",COUNT(F43:L43)=0),"",IF($E43="Lower",COUNTIF(F43:L43,"&lt;"&amp;F43),COUNTIF(F43:L43,"&gt;"&amp;F43))+1)</f>
        <v/>
      </c>
      <c r="O43" s="21">
        <f>COUNT(F43:L43)</f>
        <v/>
      </c>
      <c r="P43" s="22">
        <f>IF(OR(F43="",COUNT(F43:L43)&lt;2),"",IF($E43="Lower",IF(MIN(F43:L43)=0,"",(F43-MIN(F43:L43))/MIN(F43:L43)),IF(MAX(F43:L43)=0,"",(MAX(F43:L43)-F43)/MAX(F43:L43))))</f>
        <v/>
      </c>
    </row>
    <row r="44">
      <c r="A44" s="23">
        <f>'Metric Catalogue'!A42</f>
        <v/>
      </c>
      <c r="B44" s="23">
        <f>'Metric Catalogue'!B42</f>
        <v/>
      </c>
      <c r="C44" s="24">
        <f>'Metric Catalogue'!C42</f>
        <v/>
      </c>
      <c r="D44" s="23">
        <f>'Metric Catalogue'!D42</f>
        <v/>
      </c>
      <c r="E44" s="23">
        <f>'Metric Catalogue'!E42</f>
        <v/>
      </c>
      <c r="F44" s="57">
        <f>IFERROR(INDEX('7 RAM &amp; Storage'!$L$5:$L$67,MATCH($A44&amp;"|"&amp;F$6&amp;"|"&amp;$C$3,'7 RAM &amp; Storage'!$F$5:$F$67,0)),"")</f>
        <v/>
      </c>
      <c r="G44" s="58">
        <f>IFERROR(INDEX('7 RAM &amp; Storage'!$L$5:$L$67,MATCH($A44&amp;"|"&amp;G$6&amp;"|"&amp;$C$3,'7 RAM &amp; Storage'!$F$5:$F$67,0)),"")</f>
        <v/>
      </c>
      <c r="H44" s="58">
        <f>IFERROR(INDEX('7 RAM &amp; Storage'!$L$5:$L$67,MATCH($A44&amp;"|"&amp;H$6&amp;"|"&amp;$C$3,'7 RAM &amp; Storage'!$F$5:$F$67,0)),"")</f>
        <v/>
      </c>
      <c r="I44" s="58">
        <f>IFERROR(INDEX('7 RAM &amp; Storage'!$L$5:$L$67,MATCH($A44&amp;"|"&amp;I$6&amp;"|"&amp;$C$3,'7 RAM &amp; Storage'!$F$5:$F$67,0)),"")</f>
        <v/>
      </c>
      <c r="J44" s="58">
        <f>IFERROR(INDEX('7 RAM &amp; Storage'!$L$5:$L$67,MATCH($A44&amp;"|"&amp;J$6&amp;"|"&amp;$C$3,'7 RAM &amp; Storage'!$F$5:$F$67,0)),"")</f>
        <v/>
      </c>
      <c r="K44" s="58">
        <f>IFERROR(INDEX('7 RAM &amp; Storage'!$L$5:$L$67,MATCH($A44&amp;"|"&amp;K$6&amp;"|"&amp;$C$3,'7 RAM &amp; Storage'!$F$5:$F$67,0)),"")</f>
        <v/>
      </c>
      <c r="L44" s="58">
        <f>IFERROR(INDEX('7 RAM &amp; Storage'!$L$5:$L$67,MATCH($A44&amp;"|"&amp;L$6&amp;"|"&amp;$C$3,'7 RAM &amp; Storage'!$F$5:$F$67,0)),"")</f>
        <v/>
      </c>
      <c r="M44" s="20">
        <f>IF(COUNT(F44:L44)=0,"",INDEX($F$6:$L$6,MATCH(IF($E44="Lower",MIN(F44:L44),MAX(F44:L44)),F44:L44,0)))</f>
        <v/>
      </c>
      <c r="N44" s="21">
        <f>IF(OR(F44="",COUNT(F44:L44)=0),"",IF($E44="Lower",COUNTIF(F44:L44,"&lt;"&amp;F44),COUNTIF(F44:L44,"&gt;"&amp;F44))+1)</f>
        <v/>
      </c>
      <c r="O44" s="21">
        <f>COUNT(F44:L44)</f>
        <v/>
      </c>
      <c r="P44" s="22">
        <f>IF(OR(F44="",COUNT(F44:L44)&lt;2),"",IF($E44="Lower",IF(MIN(F44:L44)=0,"",(F44-MIN(F44:L44))/MIN(F44:L44)),IF(MAX(F44:L44)=0,"",(MAX(F44:L44)-F44)/MAX(F44:L44))))</f>
        <v/>
      </c>
    </row>
    <row r="45">
      <c r="A45" s="7">
        <f>'Metric Catalogue'!A43</f>
        <v/>
      </c>
      <c r="B45" s="7">
        <f>'Metric Catalogue'!B43</f>
        <v/>
      </c>
      <c r="C45" s="17">
        <f>'Metric Catalogue'!C43</f>
        <v/>
      </c>
      <c r="D45" s="7">
        <f>'Metric Catalogue'!D43</f>
        <v/>
      </c>
      <c r="E45" s="7">
        <f>'Metric Catalogue'!E43</f>
        <v/>
      </c>
      <c r="F45" s="57">
        <f>IFERROR(INDEX('7 RAM &amp; Storage'!$L$5:$L$67,MATCH($A45&amp;"|"&amp;F$6&amp;"|"&amp;$C$3,'7 RAM &amp; Storage'!$F$5:$F$67,0)),"")</f>
        <v/>
      </c>
      <c r="G45" s="58">
        <f>IFERROR(INDEX('7 RAM &amp; Storage'!$L$5:$L$67,MATCH($A45&amp;"|"&amp;G$6&amp;"|"&amp;$C$3,'7 RAM &amp; Storage'!$F$5:$F$67,0)),"")</f>
        <v/>
      </c>
      <c r="H45" s="58">
        <f>IFERROR(INDEX('7 RAM &amp; Storage'!$L$5:$L$67,MATCH($A45&amp;"|"&amp;H$6&amp;"|"&amp;$C$3,'7 RAM &amp; Storage'!$F$5:$F$67,0)),"")</f>
        <v/>
      </c>
      <c r="I45" s="58">
        <f>IFERROR(INDEX('7 RAM &amp; Storage'!$L$5:$L$67,MATCH($A45&amp;"|"&amp;I$6&amp;"|"&amp;$C$3,'7 RAM &amp; Storage'!$F$5:$F$67,0)),"")</f>
        <v/>
      </c>
      <c r="J45" s="58">
        <f>IFERROR(INDEX('7 RAM &amp; Storage'!$L$5:$L$67,MATCH($A45&amp;"|"&amp;J$6&amp;"|"&amp;$C$3,'7 RAM &amp; Storage'!$F$5:$F$67,0)),"")</f>
        <v/>
      </c>
      <c r="K45" s="58">
        <f>IFERROR(INDEX('7 RAM &amp; Storage'!$L$5:$L$67,MATCH($A45&amp;"|"&amp;K$6&amp;"|"&amp;$C$3,'7 RAM &amp; Storage'!$F$5:$F$67,0)),"")</f>
        <v/>
      </c>
      <c r="L45" s="58">
        <f>IFERROR(INDEX('7 RAM &amp; Storage'!$L$5:$L$67,MATCH($A45&amp;"|"&amp;L$6&amp;"|"&amp;$C$3,'7 RAM &amp; Storage'!$F$5:$F$67,0)),"")</f>
        <v/>
      </c>
      <c r="M45" s="20">
        <f>IF(COUNT(F45:L45)=0,"",INDEX($F$6:$L$6,MATCH(IF($E45="Lower",MIN(F45:L45),MAX(F45:L45)),F45:L45,0)))</f>
        <v/>
      </c>
      <c r="N45" s="21">
        <f>IF(OR(F45="",COUNT(F45:L45)=0),"",IF($E45="Lower",COUNTIF(F45:L45,"&lt;"&amp;F45),COUNTIF(F45:L45,"&gt;"&amp;F45))+1)</f>
        <v/>
      </c>
      <c r="O45" s="21">
        <f>COUNT(F45:L45)</f>
        <v/>
      </c>
      <c r="P45" s="22">
        <f>IF(OR(F45="",COUNT(F45:L45)&lt;2),"",IF($E45="Lower",IF(MIN(F45:L45)=0,"",(F45-MIN(F45:L45))/MIN(F45:L45)),IF(MAX(F45:L45)=0,"",(MAX(F45:L45)-F45)/MAX(F45:L45))))</f>
        <v/>
      </c>
    </row>
    <row r="46">
      <c r="A46" s="23">
        <f>'Metric Catalogue'!A44</f>
        <v/>
      </c>
      <c r="B46" s="23">
        <f>'Metric Catalogue'!B44</f>
        <v/>
      </c>
      <c r="C46" s="24">
        <f>'Metric Catalogue'!C44</f>
        <v/>
      </c>
      <c r="D46" s="23">
        <f>'Metric Catalogue'!D44</f>
        <v/>
      </c>
      <c r="E46" s="23">
        <f>'Metric Catalogue'!E44</f>
        <v/>
      </c>
      <c r="F46" s="57">
        <f>IFERROR(INDEX('7 RAM &amp; Storage'!$L$5:$L$67,MATCH($A46&amp;"|"&amp;F$6&amp;"|"&amp;$C$3,'7 RAM &amp; Storage'!$F$5:$F$67,0)),"")</f>
        <v/>
      </c>
      <c r="G46" s="58">
        <f>IFERROR(INDEX('7 RAM &amp; Storage'!$L$5:$L$67,MATCH($A46&amp;"|"&amp;G$6&amp;"|"&amp;$C$3,'7 RAM &amp; Storage'!$F$5:$F$67,0)),"")</f>
        <v/>
      </c>
      <c r="H46" s="58">
        <f>IFERROR(INDEX('7 RAM &amp; Storage'!$L$5:$L$67,MATCH($A46&amp;"|"&amp;H$6&amp;"|"&amp;$C$3,'7 RAM &amp; Storage'!$F$5:$F$67,0)),"")</f>
        <v/>
      </c>
      <c r="I46" s="58">
        <f>IFERROR(INDEX('7 RAM &amp; Storage'!$L$5:$L$67,MATCH($A46&amp;"|"&amp;I$6&amp;"|"&amp;$C$3,'7 RAM &amp; Storage'!$F$5:$F$67,0)),"")</f>
        <v/>
      </c>
      <c r="J46" s="58">
        <f>IFERROR(INDEX('7 RAM &amp; Storage'!$L$5:$L$67,MATCH($A46&amp;"|"&amp;J$6&amp;"|"&amp;$C$3,'7 RAM &amp; Storage'!$F$5:$F$67,0)),"")</f>
        <v/>
      </c>
      <c r="K46" s="58">
        <f>IFERROR(INDEX('7 RAM &amp; Storage'!$L$5:$L$67,MATCH($A46&amp;"|"&amp;K$6&amp;"|"&amp;$C$3,'7 RAM &amp; Storage'!$F$5:$F$67,0)),"")</f>
        <v/>
      </c>
      <c r="L46" s="58">
        <f>IFERROR(INDEX('7 RAM &amp; Storage'!$L$5:$L$67,MATCH($A46&amp;"|"&amp;L$6&amp;"|"&amp;$C$3,'7 RAM &amp; Storage'!$F$5:$F$67,0)),"")</f>
        <v/>
      </c>
      <c r="M46" s="20">
        <f>IF(COUNT(F46:L46)=0,"",INDEX($F$6:$L$6,MATCH(IF($E46="Lower",MIN(F46:L46),MAX(F46:L46)),F46:L46,0)))</f>
        <v/>
      </c>
      <c r="N46" s="21">
        <f>IF(OR(F46="",COUNT(F46:L46)=0),"",IF($E46="Lower",COUNTIF(F46:L46,"&lt;"&amp;F46),COUNTIF(F46:L46,"&gt;"&amp;F46))+1)</f>
        <v/>
      </c>
      <c r="O46" s="21">
        <f>COUNT(F46:L46)</f>
        <v/>
      </c>
      <c r="P46" s="22">
        <f>IF(OR(F46="",COUNT(F46:L46)&lt;2),"",IF($E46="Lower",IF(MIN(F46:L46)=0,"",(F46-MIN(F46:L46))/MIN(F46:L46)),IF(MAX(F46:L46)=0,"",(MAX(F46:L46)-F46)/MAX(F46:L46))))</f>
        <v/>
      </c>
    </row>
    <row r="47">
      <c r="A47" s="7">
        <f>'Metric Catalogue'!A45</f>
        <v/>
      </c>
      <c r="B47" s="7">
        <f>'Metric Catalogue'!B45</f>
        <v/>
      </c>
      <c r="C47" s="17">
        <f>'Metric Catalogue'!C45</f>
        <v/>
      </c>
      <c r="D47" s="7">
        <f>'Metric Catalogue'!D45</f>
        <v/>
      </c>
      <c r="E47" s="7">
        <f>'Metric Catalogue'!E45</f>
        <v/>
      </c>
      <c r="F47" s="57">
        <f>IFERROR(INDEX('7 RAM &amp; Storage'!$L$5:$L$67,MATCH($A47&amp;"|"&amp;F$6&amp;"|"&amp;$C$3,'7 RAM &amp; Storage'!$F$5:$F$67,0)),"")</f>
        <v/>
      </c>
      <c r="G47" s="58">
        <f>IFERROR(INDEX('7 RAM &amp; Storage'!$L$5:$L$67,MATCH($A47&amp;"|"&amp;G$6&amp;"|"&amp;$C$3,'7 RAM &amp; Storage'!$F$5:$F$67,0)),"")</f>
        <v/>
      </c>
      <c r="H47" s="58">
        <f>IFERROR(INDEX('7 RAM &amp; Storage'!$L$5:$L$67,MATCH($A47&amp;"|"&amp;H$6&amp;"|"&amp;$C$3,'7 RAM &amp; Storage'!$F$5:$F$67,0)),"")</f>
        <v/>
      </c>
      <c r="I47" s="58">
        <f>IFERROR(INDEX('7 RAM &amp; Storage'!$L$5:$L$67,MATCH($A47&amp;"|"&amp;I$6&amp;"|"&amp;$C$3,'7 RAM &amp; Storage'!$F$5:$F$67,0)),"")</f>
        <v/>
      </c>
      <c r="J47" s="58">
        <f>IFERROR(INDEX('7 RAM &amp; Storage'!$L$5:$L$67,MATCH($A47&amp;"|"&amp;J$6&amp;"|"&amp;$C$3,'7 RAM &amp; Storage'!$F$5:$F$67,0)),"")</f>
        <v/>
      </c>
      <c r="K47" s="58">
        <f>IFERROR(INDEX('7 RAM &amp; Storage'!$L$5:$L$67,MATCH($A47&amp;"|"&amp;K$6&amp;"|"&amp;$C$3,'7 RAM &amp; Storage'!$F$5:$F$67,0)),"")</f>
        <v/>
      </c>
      <c r="L47" s="58">
        <f>IFERROR(INDEX('7 RAM &amp; Storage'!$L$5:$L$67,MATCH($A47&amp;"|"&amp;L$6&amp;"|"&amp;$C$3,'7 RAM &amp; Storage'!$F$5:$F$67,0)),"")</f>
        <v/>
      </c>
      <c r="M47" s="20">
        <f>IF(COUNT(F47:L47)=0,"",INDEX($F$6:$L$6,MATCH(IF($E47="Lower",MIN(F47:L47),MAX(F47:L47)),F47:L47,0)))</f>
        <v/>
      </c>
      <c r="N47" s="21">
        <f>IF(OR(F47="",COUNT(F47:L47)=0),"",IF($E47="Lower",COUNTIF(F47:L47,"&lt;"&amp;F47),COUNTIF(F47:L47,"&gt;"&amp;F47))+1)</f>
        <v/>
      </c>
      <c r="O47" s="21">
        <f>COUNT(F47:L47)</f>
        <v/>
      </c>
      <c r="P47" s="22">
        <f>IF(OR(F47="",COUNT(F47:L47)&lt;2),"",IF($E47="Lower",IF(MIN(F47:L47)=0,"",(F47-MIN(F47:L47))/MIN(F47:L47)),IF(MAX(F47:L47)=0,"",(MAX(F47:L47)-F47)/MAX(F47:L47))))</f>
        <v/>
      </c>
    </row>
    <row r="48">
      <c r="A48" s="23">
        <f>'Metric Catalogue'!A46</f>
        <v/>
      </c>
      <c r="B48" s="23">
        <f>'Metric Catalogue'!B46</f>
        <v/>
      </c>
      <c r="C48" s="24">
        <f>'Metric Catalogue'!C46</f>
        <v/>
      </c>
      <c r="D48" s="23">
        <f>'Metric Catalogue'!D46</f>
        <v/>
      </c>
      <c r="E48" s="23">
        <f>'Metric Catalogue'!E46</f>
        <v/>
      </c>
      <c r="F48" s="57">
        <f>IFERROR(INDEX('7 RAM &amp; Storage'!$L$5:$L$67,MATCH($A48&amp;"|"&amp;F$6&amp;"|"&amp;$C$3,'7 RAM &amp; Storage'!$F$5:$F$67,0)),"")</f>
        <v/>
      </c>
      <c r="G48" s="58">
        <f>IFERROR(INDEX('7 RAM &amp; Storage'!$L$5:$L$67,MATCH($A48&amp;"|"&amp;G$6&amp;"|"&amp;$C$3,'7 RAM &amp; Storage'!$F$5:$F$67,0)),"")</f>
        <v/>
      </c>
      <c r="H48" s="58">
        <f>IFERROR(INDEX('7 RAM &amp; Storage'!$L$5:$L$67,MATCH($A48&amp;"|"&amp;H$6&amp;"|"&amp;$C$3,'7 RAM &amp; Storage'!$F$5:$F$67,0)),"")</f>
        <v/>
      </c>
      <c r="I48" s="58">
        <f>IFERROR(INDEX('7 RAM &amp; Storage'!$L$5:$L$67,MATCH($A48&amp;"|"&amp;I$6&amp;"|"&amp;$C$3,'7 RAM &amp; Storage'!$F$5:$F$67,0)),"")</f>
        <v/>
      </c>
      <c r="J48" s="58">
        <f>IFERROR(INDEX('7 RAM &amp; Storage'!$L$5:$L$67,MATCH($A48&amp;"|"&amp;J$6&amp;"|"&amp;$C$3,'7 RAM &amp; Storage'!$F$5:$F$67,0)),"")</f>
        <v/>
      </c>
      <c r="K48" s="58">
        <f>IFERROR(INDEX('7 RAM &amp; Storage'!$L$5:$L$67,MATCH($A48&amp;"|"&amp;K$6&amp;"|"&amp;$C$3,'7 RAM &amp; Storage'!$F$5:$F$67,0)),"")</f>
        <v/>
      </c>
      <c r="L48" s="58">
        <f>IFERROR(INDEX('7 RAM &amp; Storage'!$L$5:$L$67,MATCH($A48&amp;"|"&amp;L$6&amp;"|"&amp;$C$3,'7 RAM &amp; Storage'!$F$5:$F$67,0)),"")</f>
        <v/>
      </c>
      <c r="M48" s="20">
        <f>IF(COUNT(F48:L48)=0,"",INDEX($F$6:$L$6,MATCH(IF($E48="Lower",MIN(F48:L48),MAX(F48:L48)),F48:L48,0)))</f>
        <v/>
      </c>
      <c r="N48" s="21">
        <f>IF(OR(F48="",COUNT(F48:L48)=0),"",IF($E48="Lower",COUNTIF(F48:L48,"&lt;"&amp;F48),COUNTIF(F48:L48,"&gt;"&amp;F48))+1)</f>
        <v/>
      </c>
      <c r="O48" s="21">
        <f>COUNT(F48:L48)</f>
        <v/>
      </c>
      <c r="P48" s="22">
        <f>IF(OR(F48="",COUNT(F48:L48)&lt;2),"",IF($E48="Lower",IF(MIN(F48:L48)=0,"",(F48-MIN(F48:L48))/MIN(F48:L48)),IF(MAX(F48:L48)=0,"",(MAX(F48:L48)-F48)/MAX(F48:L48))))</f>
        <v/>
      </c>
    </row>
    <row r="49">
      <c r="A49" s="7">
        <f>'Metric Catalogue'!A47</f>
        <v/>
      </c>
      <c r="B49" s="7">
        <f>'Metric Catalogue'!B47</f>
        <v/>
      </c>
      <c r="C49" s="17">
        <f>'Metric Catalogue'!C47</f>
        <v/>
      </c>
      <c r="D49" s="7">
        <f>'Metric Catalogue'!D47</f>
        <v/>
      </c>
      <c r="E49" s="7">
        <f>'Metric Catalogue'!E47</f>
        <v/>
      </c>
      <c r="F49" s="57">
        <f>IFERROR(INDEX('8 CPU Battery Data'!$L$5:$L$32,MATCH($A49&amp;"|"&amp;F$6&amp;"|"&amp;$C$3,'8 CPU Battery Data'!$F$5:$F$32,0)),"")</f>
        <v/>
      </c>
      <c r="G49" s="58">
        <f>IFERROR(INDEX('8 CPU Battery Data'!$L$5:$L$32,MATCH($A49&amp;"|"&amp;G$6&amp;"|"&amp;$C$3,'8 CPU Battery Data'!$F$5:$F$32,0)),"")</f>
        <v/>
      </c>
      <c r="H49" s="58">
        <f>IFERROR(INDEX('8 CPU Battery Data'!$L$5:$L$32,MATCH($A49&amp;"|"&amp;H$6&amp;"|"&amp;$C$3,'8 CPU Battery Data'!$F$5:$F$32,0)),"")</f>
        <v/>
      </c>
      <c r="I49" s="58">
        <f>IFERROR(INDEX('8 CPU Battery Data'!$L$5:$L$32,MATCH($A49&amp;"|"&amp;I$6&amp;"|"&amp;$C$3,'8 CPU Battery Data'!$F$5:$F$32,0)),"")</f>
        <v/>
      </c>
      <c r="J49" s="58">
        <f>IFERROR(INDEX('8 CPU Battery Data'!$L$5:$L$32,MATCH($A49&amp;"|"&amp;J$6&amp;"|"&amp;$C$3,'8 CPU Battery Data'!$F$5:$F$32,0)),"")</f>
        <v/>
      </c>
      <c r="K49" s="58">
        <f>IFERROR(INDEX('8 CPU Battery Data'!$L$5:$L$32,MATCH($A49&amp;"|"&amp;K$6&amp;"|"&amp;$C$3,'8 CPU Battery Data'!$F$5:$F$32,0)),"")</f>
        <v/>
      </c>
      <c r="L49" s="58">
        <f>IFERROR(INDEX('8 CPU Battery Data'!$L$5:$L$32,MATCH($A49&amp;"|"&amp;L$6&amp;"|"&amp;$C$3,'8 CPU Battery Data'!$F$5:$F$32,0)),"")</f>
        <v/>
      </c>
      <c r="M49" s="20">
        <f>IF(COUNT(F49:L49)=0,"",INDEX($F$6:$L$6,MATCH(IF($E49="Lower",MIN(F49:L49),MAX(F49:L49)),F49:L49,0)))</f>
        <v/>
      </c>
      <c r="N49" s="21">
        <f>IF(OR(F49="",COUNT(F49:L49)=0),"",IF($E49="Lower",COUNTIF(F49:L49,"&lt;"&amp;F49),COUNTIF(F49:L49,"&gt;"&amp;F49))+1)</f>
        <v/>
      </c>
      <c r="O49" s="21">
        <f>COUNT(F49:L49)</f>
        <v/>
      </c>
      <c r="P49" s="22">
        <f>IF(OR(F49="",COUNT(F49:L49)&lt;2),"",IF($E49="Lower",IF(MIN(F49:L49)=0,"",(F49-MIN(F49:L49))/MIN(F49:L49)),IF(MAX(F49:L49)=0,"",(MAX(F49:L49)-F49)/MAX(F49:L49))))</f>
        <v/>
      </c>
    </row>
    <row r="50">
      <c r="A50" s="23">
        <f>'Metric Catalogue'!A48</f>
        <v/>
      </c>
      <c r="B50" s="23">
        <f>'Metric Catalogue'!B48</f>
        <v/>
      </c>
      <c r="C50" s="24">
        <f>'Metric Catalogue'!C48</f>
        <v/>
      </c>
      <c r="D50" s="23">
        <f>'Metric Catalogue'!D48</f>
        <v/>
      </c>
      <c r="E50" s="23">
        <f>'Metric Catalogue'!E48</f>
        <v/>
      </c>
      <c r="F50" s="57">
        <f>IFERROR(INDEX('8 CPU Battery Data'!$L$5:$L$32,MATCH($A50&amp;"|"&amp;F$6&amp;"|"&amp;$C$3,'8 CPU Battery Data'!$F$5:$F$32,0)),"")</f>
        <v/>
      </c>
      <c r="G50" s="58">
        <f>IFERROR(INDEX('8 CPU Battery Data'!$L$5:$L$32,MATCH($A50&amp;"|"&amp;G$6&amp;"|"&amp;$C$3,'8 CPU Battery Data'!$F$5:$F$32,0)),"")</f>
        <v/>
      </c>
      <c r="H50" s="58">
        <f>IFERROR(INDEX('8 CPU Battery Data'!$L$5:$L$32,MATCH($A50&amp;"|"&amp;H$6&amp;"|"&amp;$C$3,'8 CPU Battery Data'!$F$5:$F$32,0)),"")</f>
        <v/>
      </c>
      <c r="I50" s="58">
        <f>IFERROR(INDEX('8 CPU Battery Data'!$L$5:$L$32,MATCH($A50&amp;"|"&amp;I$6&amp;"|"&amp;$C$3,'8 CPU Battery Data'!$F$5:$F$32,0)),"")</f>
        <v/>
      </c>
      <c r="J50" s="58">
        <f>IFERROR(INDEX('8 CPU Battery Data'!$L$5:$L$32,MATCH($A50&amp;"|"&amp;J$6&amp;"|"&amp;$C$3,'8 CPU Battery Data'!$F$5:$F$32,0)),"")</f>
        <v/>
      </c>
      <c r="K50" s="58">
        <f>IFERROR(INDEX('8 CPU Battery Data'!$L$5:$L$32,MATCH($A50&amp;"|"&amp;K$6&amp;"|"&amp;$C$3,'8 CPU Battery Data'!$F$5:$F$32,0)),"")</f>
        <v/>
      </c>
      <c r="L50" s="58">
        <f>IFERROR(INDEX('8 CPU Battery Data'!$L$5:$L$32,MATCH($A50&amp;"|"&amp;L$6&amp;"|"&amp;$C$3,'8 CPU Battery Data'!$F$5:$F$32,0)),"")</f>
        <v/>
      </c>
      <c r="M50" s="20">
        <f>IF(COUNT(F50:L50)=0,"",INDEX($F$6:$L$6,MATCH(IF($E50="Lower",MIN(F50:L50),MAX(F50:L50)),F50:L50,0)))</f>
        <v/>
      </c>
      <c r="N50" s="21">
        <f>IF(OR(F50="",COUNT(F50:L50)=0),"",IF($E50="Lower",COUNTIF(F50:L50,"&lt;"&amp;F50),COUNTIF(F50:L50,"&gt;"&amp;F50))+1)</f>
        <v/>
      </c>
      <c r="O50" s="21">
        <f>COUNT(F50:L50)</f>
        <v/>
      </c>
      <c r="P50" s="22">
        <f>IF(OR(F50="",COUNT(F50:L50)&lt;2),"",IF($E50="Lower",IF(MIN(F50:L50)=0,"",(F50-MIN(F50:L50))/MIN(F50:L50)),IF(MAX(F50:L50)=0,"",(MAX(F50:L50)-F50)/MAX(F50:L50))))</f>
        <v/>
      </c>
    </row>
    <row r="51">
      <c r="A51" s="7">
        <f>'Metric Catalogue'!A49</f>
        <v/>
      </c>
      <c r="B51" s="7">
        <f>'Metric Catalogue'!B49</f>
        <v/>
      </c>
      <c r="C51" s="17">
        <f>'Metric Catalogue'!C49</f>
        <v/>
      </c>
      <c r="D51" s="7">
        <f>'Metric Catalogue'!D49</f>
        <v/>
      </c>
      <c r="E51" s="7">
        <f>'Metric Catalogue'!E49</f>
        <v/>
      </c>
      <c r="F51" s="57">
        <f>IFERROR(INDEX('8 CPU Battery Data'!$L$5:$L$32,MATCH($A51&amp;"|"&amp;F$6&amp;"|"&amp;$C$3,'8 CPU Battery Data'!$F$5:$F$32,0)),"")</f>
        <v/>
      </c>
      <c r="G51" s="58">
        <f>IFERROR(INDEX('8 CPU Battery Data'!$L$5:$L$32,MATCH($A51&amp;"|"&amp;G$6&amp;"|"&amp;$C$3,'8 CPU Battery Data'!$F$5:$F$32,0)),"")</f>
        <v/>
      </c>
      <c r="H51" s="58">
        <f>IFERROR(INDEX('8 CPU Battery Data'!$L$5:$L$32,MATCH($A51&amp;"|"&amp;H$6&amp;"|"&amp;$C$3,'8 CPU Battery Data'!$F$5:$F$32,0)),"")</f>
        <v/>
      </c>
      <c r="I51" s="58">
        <f>IFERROR(INDEX('8 CPU Battery Data'!$L$5:$L$32,MATCH($A51&amp;"|"&amp;I$6&amp;"|"&amp;$C$3,'8 CPU Battery Data'!$F$5:$F$32,0)),"")</f>
        <v/>
      </c>
      <c r="J51" s="58">
        <f>IFERROR(INDEX('8 CPU Battery Data'!$L$5:$L$32,MATCH($A51&amp;"|"&amp;J$6&amp;"|"&amp;$C$3,'8 CPU Battery Data'!$F$5:$F$32,0)),"")</f>
        <v/>
      </c>
      <c r="K51" s="58">
        <f>IFERROR(INDEX('8 CPU Battery Data'!$L$5:$L$32,MATCH($A51&amp;"|"&amp;K$6&amp;"|"&amp;$C$3,'8 CPU Battery Data'!$F$5:$F$32,0)),"")</f>
        <v/>
      </c>
      <c r="L51" s="58">
        <f>IFERROR(INDEX('8 CPU Battery Data'!$L$5:$L$32,MATCH($A51&amp;"|"&amp;L$6&amp;"|"&amp;$C$3,'8 CPU Battery Data'!$F$5:$F$32,0)),"")</f>
        <v/>
      </c>
      <c r="M51" s="20">
        <f>IF(COUNT(F51:L51)=0,"",INDEX($F$6:$L$6,MATCH(IF($E51="Lower",MIN(F51:L51),MAX(F51:L51)),F51:L51,0)))</f>
        <v/>
      </c>
      <c r="N51" s="21">
        <f>IF(OR(F51="",COUNT(F51:L51)=0),"",IF($E51="Lower",COUNTIF(F51:L51,"&lt;"&amp;F51),COUNTIF(F51:L51,"&gt;"&amp;F51))+1)</f>
        <v/>
      </c>
      <c r="O51" s="21">
        <f>COUNT(F51:L51)</f>
        <v/>
      </c>
      <c r="P51" s="22">
        <f>IF(OR(F51="",COUNT(F51:L51)&lt;2),"",IF($E51="Lower",IF(MIN(F51:L51)=0,"",(F51-MIN(F51:L51))/MIN(F51:L51)),IF(MAX(F51:L51)=0,"",(MAX(F51:L51)-F51)/MAX(F51:L51))))</f>
        <v/>
      </c>
    </row>
    <row r="52">
      <c r="A52" s="23">
        <f>'Metric Catalogue'!A50</f>
        <v/>
      </c>
      <c r="B52" s="23">
        <f>'Metric Catalogue'!B50</f>
        <v/>
      </c>
      <c r="C52" s="24">
        <f>'Metric Catalogue'!C50</f>
        <v/>
      </c>
      <c r="D52" s="23">
        <f>'Metric Catalogue'!D50</f>
        <v/>
      </c>
      <c r="E52" s="23">
        <f>'Metric Catalogue'!E50</f>
        <v/>
      </c>
      <c r="F52" s="57">
        <f>IFERROR(INDEX('8 CPU Battery Data'!$L$5:$L$32,MATCH($A52&amp;"|"&amp;F$6&amp;"|"&amp;$C$3,'8 CPU Battery Data'!$F$5:$F$32,0)),"")</f>
        <v/>
      </c>
      <c r="G52" s="58">
        <f>IFERROR(INDEX('8 CPU Battery Data'!$L$5:$L$32,MATCH($A52&amp;"|"&amp;G$6&amp;"|"&amp;$C$3,'8 CPU Battery Data'!$F$5:$F$32,0)),"")</f>
        <v/>
      </c>
      <c r="H52" s="58">
        <f>IFERROR(INDEX('8 CPU Battery Data'!$L$5:$L$32,MATCH($A52&amp;"|"&amp;H$6&amp;"|"&amp;$C$3,'8 CPU Battery Data'!$F$5:$F$32,0)),"")</f>
        <v/>
      </c>
      <c r="I52" s="58">
        <f>IFERROR(INDEX('8 CPU Battery Data'!$L$5:$L$32,MATCH($A52&amp;"|"&amp;I$6&amp;"|"&amp;$C$3,'8 CPU Battery Data'!$F$5:$F$32,0)),"")</f>
        <v/>
      </c>
      <c r="J52" s="58">
        <f>IFERROR(INDEX('8 CPU Battery Data'!$L$5:$L$32,MATCH($A52&amp;"|"&amp;J$6&amp;"|"&amp;$C$3,'8 CPU Battery Data'!$F$5:$F$32,0)),"")</f>
        <v/>
      </c>
      <c r="K52" s="58">
        <f>IFERROR(INDEX('8 CPU Battery Data'!$L$5:$L$32,MATCH($A52&amp;"|"&amp;K$6&amp;"|"&amp;$C$3,'8 CPU Battery Data'!$F$5:$F$32,0)),"")</f>
        <v/>
      </c>
      <c r="L52" s="58">
        <f>IFERROR(INDEX('8 CPU Battery Data'!$L$5:$L$32,MATCH($A52&amp;"|"&amp;L$6&amp;"|"&amp;$C$3,'8 CPU Battery Data'!$F$5:$F$32,0)),"")</f>
        <v/>
      </c>
      <c r="M52" s="20">
        <f>IF(COUNT(F52:L52)=0,"",INDEX($F$6:$L$6,MATCH(IF($E52="Lower",MIN(F52:L52),MAX(F52:L52)),F52:L52,0)))</f>
        <v/>
      </c>
      <c r="N52" s="21">
        <f>IF(OR(F52="",COUNT(F52:L52)=0),"",IF($E52="Lower",COUNTIF(F52:L52,"&lt;"&amp;F52),COUNTIF(F52:L52,"&gt;"&amp;F52))+1)</f>
        <v/>
      </c>
      <c r="O52" s="21">
        <f>COUNT(F52:L52)</f>
        <v/>
      </c>
      <c r="P52" s="22">
        <f>IF(OR(F52="",COUNT(F52:L52)&lt;2),"",IF($E52="Lower",IF(MIN(F52:L52)=0,"",(F52-MIN(F52:L52))/MIN(F52:L52)),IF(MAX(F52:L52)=0,"",(MAX(F52:L52)-F52)/MAX(F52:L52))))</f>
        <v/>
      </c>
    </row>
    <row r="53">
      <c r="A53" s="7">
        <f>'Metric Catalogue'!A51</f>
        <v/>
      </c>
      <c r="B53" s="7">
        <f>'Metric Catalogue'!B51</f>
        <v/>
      </c>
      <c r="C53" s="17">
        <f>'Metric Catalogue'!C51</f>
        <v/>
      </c>
      <c r="D53" s="7">
        <f>'Metric Catalogue'!D51</f>
        <v/>
      </c>
      <c r="E53" s="7">
        <f>'Metric Catalogue'!E51</f>
        <v/>
      </c>
      <c r="F53" s="57">
        <f>IFERROR(IF(INDEX('9 App Info &amp; Stability'!$J$5:$J$11,MATCH(F$6,'9 App Info &amp; Stability'!$A$5:$A$11,0))="","",INDEX('9 App Info &amp; Stability'!$J$5:$J$11,MATCH(F$6,'9 App Info &amp; Stability'!$A$5:$A$11,0))),"")</f>
        <v/>
      </c>
      <c r="G53" s="58">
        <f>IFERROR(IF(INDEX('9 App Info &amp; Stability'!$J$5:$J$11,MATCH(G$6,'9 App Info &amp; Stability'!$A$5:$A$11,0))="","",INDEX('9 App Info &amp; Stability'!$J$5:$J$11,MATCH(G$6,'9 App Info &amp; Stability'!$A$5:$A$11,0))),"")</f>
        <v/>
      </c>
      <c r="H53" s="58">
        <f>IFERROR(IF(INDEX('9 App Info &amp; Stability'!$J$5:$J$11,MATCH(H$6,'9 App Info &amp; Stability'!$A$5:$A$11,0))="","",INDEX('9 App Info &amp; Stability'!$J$5:$J$11,MATCH(H$6,'9 App Info &amp; Stability'!$A$5:$A$11,0))),"")</f>
        <v/>
      </c>
      <c r="I53" s="58">
        <f>IFERROR(IF(INDEX('9 App Info &amp; Stability'!$J$5:$J$11,MATCH(I$6,'9 App Info &amp; Stability'!$A$5:$A$11,0))="","",INDEX('9 App Info &amp; Stability'!$J$5:$J$11,MATCH(I$6,'9 App Info &amp; Stability'!$A$5:$A$11,0))),"")</f>
        <v/>
      </c>
      <c r="J53" s="58">
        <f>IFERROR(IF(INDEX('9 App Info &amp; Stability'!$J$5:$J$11,MATCH(J$6,'9 App Info &amp; Stability'!$A$5:$A$11,0))="","",INDEX('9 App Info &amp; Stability'!$J$5:$J$11,MATCH(J$6,'9 App Info &amp; Stability'!$A$5:$A$11,0))),"")</f>
        <v/>
      </c>
      <c r="K53" s="58">
        <f>IFERROR(IF(INDEX('9 App Info &amp; Stability'!$J$5:$J$11,MATCH(K$6,'9 App Info &amp; Stability'!$A$5:$A$11,0))="","",INDEX('9 App Info &amp; Stability'!$J$5:$J$11,MATCH(K$6,'9 App Info &amp; Stability'!$A$5:$A$11,0))),"")</f>
        <v/>
      </c>
      <c r="L53" s="58">
        <f>IFERROR(IF(INDEX('9 App Info &amp; Stability'!$J$5:$J$11,MATCH(L$6,'9 App Info &amp; Stability'!$A$5:$A$11,0))="","",INDEX('9 App Info &amp; Stability'!$J$5:$J$11,MATCH(L$6,'9 App Info &amp; Stability'!$A$5:$A$11,0))),"")</f>
        <v/>
      </c>
      <c r="M53" s="20">
        <f>IF(COUNT(F53:L53)=0,"",INDEX($F$6:$L$6,MATCH(IF($E53="Lower",MIN(F53:L53),MAX(F53:L53)),F53:L53,0)))</f>
        <v/>
      </c>
      <c r="N53" s="21">
        <f>IF(OR(F53="",COUNT(F53:L53)=0),"",IF($E53="Lower",COUNTIF(F53:L53,"&lt;"&amp;F53),COUNTIF(F53:L53,"&gt;"&amp;F53))+1)</f>
        <v/>
      </c>
      <c r="O53" s="21">
        <f>COUNT(F53:L53)</f>
        <v/>
      </c>
      <c r="P53" s="22">
        <f>IF(OR(F53="",COUNT(F53:L53)&lt;2),"",IF($E53="Lower",IF(MIN(F53:L53)=0,"",(F53-MIN(F53:L53))/MIN(F53:L53)),IF(MAX(F53:L53)=0,"",(MAX(F53:L53)-F53)/MAX(F53:L53))))</f>
        <v/>
      </c>
    </row>
    <row r="54">
      <c r="A54" s="23">
        <f>'Metric Catalogue'!A52</f>
        <v/>
      </c>
      <c r="B54" s="23">
        <f>'Metric Catalogue'!B52</f>
        <v/>
      </c>
      <c r="C54" s="24">
        <f>'Metric Catalogue'!C52</f>
        <v/>
      </c>
      <c r="D54" s="23">
        <f>'Metric Catalogue'!D52</f>
        <v/>
      </c>
      <c r="E54" s="23">
        <f>'Metric Catalogue'!E52</f>
        <v/>
      </c>
      <c r="F54" s="57">
        <f>IFERROR(IF(INDEX('9 App Info &amp; Stability'!$K$5:$K$11,MATCH(F$6,'9 App Info &amp; Stability'!$A$5:$A$11,0))="","",INDEX('9 App Info &amp; Stability'!$K$5:$K$11,MATCH(F$6,'9 App Info &amp; Stability'!$A$5:$A$11,0))),"")</f>
        <v/>
      </c>
      <c r="G54" s="58">
        <f>IFERROR(IF(INDEX('9 App Info &amp; Stability'!$K$5:$K$11,MATCH(G$6,'9 App Info &amp; Stability'!$A$5:$A$11,0))="","",INDEX('9 App Info &amp; Stability'!$K$5:$K$11,MATCH(G$6,'9 App Info &amp; Stability'!$A$5:$A$11,0))),"")</f>
        <v/>
      </c>
      <c r="H54" s="58">
        <f>IFERROR(IF(INDEX('9 App Info &amp; Stability'!$K$5:$K$11,MATCH(H$6,'9 App Info &amp; Stability'!$A$5:$A$11,0))="","",INDEX('9 App Info &amp; Stability'!$K$5:$K$11,MATCH(H$6,'9 App Info &amp; Stability'!$A$5:$A$11,0))),"")</f>
        <v/>
      </c>
      <c r="I54" s="58">
        <f>IFERROR(IF(INDEX('9 App Info &amp; Stability'!$K$5:$K$11,MATCH(I$6,'9 App Info &amp; Stability'!$A$5:$A$11,0))="","",INDEX('9 App Info &amp; Stability'!$K$5:$K$11,MATCH(I$6,'9 App Info &amp; Stability'!$A$5:$A$11,0))),"")</f>
        <v/>
      </c>
      <c r="J54" s="58">
        <f>IFERROR(IF(INDEX('9 App Info &amp; Stability'!$K$5:$K$11,MATCH(J$6,'9 App Info &amp; Stability'!$A$5:$A$11,0))="","",INDEX('9 App Info &amp; Stability'!$K$5:$K$11,MATCH(J$6,'9 App Info &amp; Stability'!$A$5:$A$11,0))),"")</f>
        <v/>
      </c>
      <c r="K54" s="58">
        <f>IFERROR(IF(INDEX('9 App Info &amp; Stability'!$K$5:$K$11,MATCH(K$6,'9 App Info &amp; Stability'!$A$5:$A$11,0))="","",INDEX('9 App Info &amp; Stability'!$K$5:$K$11,MATCH(K$6,'9 App Info &amp; Stability'!$A$5:$A$11,0))),"")</f>
        <v/>
      </c>
      <c r="L54" s="58">
        <f>IFERROR(IF(INDEX('9 App Info &amp; Stability'!$K$5:$K$11,MATCH(L$6,'9 App Info &amp; Stability'!$A$5:$A$11,0))="","",INDEX('9 App Info &amp; Stability'!$K$5:$K$11,MATCH(L$6,'9 App Info &amp; Stability'!$A$5:$A$11,0))),"")</f>
        <v/>
      </c>
      <c r="M54" s="20">
        <f>IF(COUNT(F54:L54)=0,"",INDEX($F$6:$L$6,MATCH(IF($E54="Lower",MIN(F54:L54),MAX(F54:L54)),F54:L54,0)))</f>
        <v/>
      </c>
      <c r="N54" s="21">
        <f>IF(OR(F54="",COUNT(F54:L54)=0),"",IF($E54="Lower",COUNTIF(F54:L54,"&lt;"&amp;F54),COUNTIF(F54:L54,"&gt;"&amp;F54))+1)</f>
        <v/>
      </c>
      <c r="O54" s="21">
        <f>COUNT(F54:L54)</f>
        <v/>
      </c>
      <c r="P54" s="22">
        <f>IF(OR(F54="",COUNT(F54:L54)&lt;2),"",IF($E54="Lower",IF(MIN(F54:L54)=0,"",(F54-MIN(F54:L54))/MIN(F54:L54)),IF(MAX(F54:L54)=0,"",(MAX(F54:L54)-F54)/MAX(F54:L54))))</f>
        <v/>
      </c>
    </row>
    <row r="55">
      <c r="A55" s="7">
        <f>'Metric Catalogue'!A53</f>
        <v/>
      </c>
      <c r="B55" s="7">
        <f>'Metric Catalogue'!B53</f>
        <v/>
      </c>
      <c r="C55" s="17">
        <f>'Metric Catalogue'!C53</f>
        <v/>
      </c>
      <c r="D55" s="7">
        <f>'Metric Catalogue'!D53</f>
        <v/>
      </c>
      <c r="E55" s="7">
        <f>'Metric Catalogue'!E53</f>
        <v/>
      </c>
      <c r="F55" s="57">
        <f>IFERROR(IF(INDEX('9 App Info &amp; Stability'!$F$5:$F$11,MATCH(F$6,'9 App Info &amp; Stability'!$A$5:$A$11,0))="","",INDEX('9 App Info &amp; Stability'!$F$5:$F$11,MATCH(F$6,'9 App Info &amp; Stability'!$A$5:$A$11,0))),"")</f>
        <v/>
      </c>
      <c r="G55" s="58">
        <f>IFERROR(IF(INDEX('9 App Info &amp; Stability'!$F$5:$F$11,MATCH(G$6,'9 App Info &amp; Stability'!$A$5:$A$11,0))="","",INDEX('9 App Info &amp; Stability'!$F$5:$F$11,MATCH(G$6,'9 App Info &amp; Stability'!$A$5:$A$11,0))),"")</f>
        <v/>
      </c>
      <c r="H55" s="58">
        <f>IFERROR(IF(INDEX('9 App Info &amp; Stability'!$F$5:$F$11,MATCH(H$6,'9 App Info &amp; Stability'!$A$5:$A$11,0))="","",INDEX('9 App Info &amp; Stability'!$F$5:$F$11,MATCH(H$6,'9 App Info &amp; Stability'!$A$5:$A$11,0))),"")</f>
        <v/>
      </c>
      <c r="I55" s="58">
        <f>IFERROR(IF(INDEX('9 App Info &amp; Stability'!$F$5:$F$11,MATCH(I$6,'9 App Info &amp; Stability'!$A$5:$A$11,0))="","",INDEX('9 App Info &amp; Stability'!$F$5:$F$11,MATCH(I$6,'9 App Info &amp; Stability'!$A$5:$A$11,0))),"")</f>
        <v/>
      </c>
      <c r="J55" s="58">
        <f>IFERROR(IF(INDEX('9 App Info &amp; Stability'!$F$5:$F$11,MATCH(J$6,'9 App Info &amp; Stability'!$A$5:$A$11,0))="","",INDEX('9 App Info &amp; Stability'!$F$5:$F$11,MATCH(J$6,'9 App Info &amp; Stability'!$A$5:$A$11,0))),"")</f>
        <v/>
      </c>
      <c r="K55" s="58">
        <f>IFERROR(IF(INDEX('9 App Info &amp; Stability'!$F$5:$F$11,MATCH(K$6,'9 App Info &amp; Stability'!$A$5:$A$11,0))="","",INDEX('9 App Info &amp; Stability'!$F$5:$F$11,MATCH(K$6,'9 App Info &amp; Stability'!$A$5:$A$11,0))),"")</f>
        <v/>
      </c>
      <c r="L55" s="58">
        <f>IFERROR(IF(INDEX('9 App Info &amp; Stability'!$F$5:$F$11,MATCH(L$6,'9 App Info &amp; Stability'!$A$5:$A$11,0))="","",INDEX('9 App Info &amp; Stability'!$F$5:$F$11,MATCH(L$6,'9 App Info &amp; Stability'!$A$5:$A$11,0))),"")</f>
        <v/>
      </c>
      <c r="M55" s="20">
        <f>IF(COUNT(F55:L55)=0,"",INDEX($F$6:$L$6,MATCH(IF($E55="Lower",MIN(F55:L55),MAX(F55:L55)),F55:L55,0)))</f>
        <v/>
      </c>
      <c r="N55" s="21">
        <f>IF(OR(F55="",COUNT(F55:L55)=0),"",IF($E55="Lower",COUNTIF(F55:L55,"&lt;"&amp;F55),COUNTIF(F55:L55,"&gt;"&amp;F55))+1)</f>
        <v/>
      </c>
      <c r="O55" s="21">
        <f>COUNT(F55:L55)</f>
        <v/>
      </c>
      <c r="P55" s="22">
        <f>IF(OR(F55="",COUNT(F55:L55)&lt;2),"",IF($E55="Lower",IF(MIN(F55:L55)=0,"",(F55-MIN(F55:L55))/MIN(F55:L55)),IF(MAX(F55:L55)=0,"",(MAX(F55:L55)-F55)/MAX(F55:L55))))</f>
        <v/>
      </c>
    </row>
    <row r="56">
      <c r="A56" s="23">
        <f>'Metric Catalogue'!A54</f>
        <v/>
      </c>
      <c r="B56" s="23">
        <f>'Metric Catalogue'!B54</f>
        <v/>
      </c>
      <c r="C56" s="24">
        <f>'Metric Catalogue'!C54</f>
        <v/>
      </c>
      <c r="D56" s="23">
        <f>'Metric Catalogue'!D54</f>
        <v/>
      </c>
      <c r="E56" s="23">
        <f>'Metric Catalogue'!E54</f>
        <v/>
      </c>
      <c r="F56" s="57">
        <f>IFERROR(IF(INDEX('9 App Info &amp; Stability'!$H$5:$H$11,MATCH(F$6,'9 App Info &amp; Stability'!$A$5:$A$11,0))="","",INDEX('9 App Info &amp; Stability'!$H$5:$H$11,MATCH(F$6,'9 App Info &amp; Stability'!$A$5:$A$11,0))),"")</f>
        <v/>
      </c>
      <c r="G56" s="58">
        <f>IFERROR(IF(INDEX('9 App Info &amp; Stability'!$H$5:$H$11,MATCH(G$6,'9 App Info &amp; Stability'!$A$5:$A$11,0))="","",INDEX('9 App Info &amp; Stability'!$H$5:$H$11,MATCH(G$6,'9 App Info &amp; Stability'!$A$5:$A$11,0))),"")</f>
        <v/>
      </c>
      <c r="H56" s="58">
        <f>IFERROR(IF(INDEX('9 App Info &amp; Stability'!$H$5:$H$11,MATCH(H$6,'9 App Info &amp; Stability'!$A$5:$A$11,0))="","",INDEX('9 App Info &amp; Stability'!$H$5:$H$11,MATCH(H$6,'9 App Info &amp; Stability'!$A$5:$A$11,0))),"")</f>
        <v/>
      </c>
      <c r="I56" s="58">
        <f>IFERROR(IF(INDEX('9 App Info &amp; Stability'!$H$5:$H$11,MATCH(I$6,'9 App Info &amp; Stability'!$A$5:$A$11,0))="","",INDEX('9 App Info &amp; Stability'!$H$5:$H$11,MATCH(I$6,'9 App Info &amp; Stability'!$A$5:$A$11,0))),"")</f>
        <v/>
      </c>
      <c r="J56" s="58">
        <f>IFERROR(IF(INDEX('9 App Info &amp; Stability'!$H$5:$H$11,MATCH(J$6,'9 App Info &amp; Stability'!$A$5:$A$11,0))="","",INDEX('9 App Info &amp; Stability'!$H$5:$H$11,MATCH(J$6,'9 App Info &amp; Stability'!$A$5:$A$11,0))),"")</f>
        <v/>
      </c>
      <c r="K56" s="58">
        <f>IFERROR(IF(INDEX('9 App Info &amp; Stability'!$H$5:$H$11,MATCH(K$6,'9 App Info &amp; Stability'!$A$5:$A$11,0))="","",INDEX('9 App Info &amp; Stability'!$H$5:$H$11,MATCH(K$6,'9 App Info &amp; Stability'!$A$5:$A$11,0))),"")</f>
        <v/>
      </c>
      <c r="L56" s="58">
        <f>IFERROR(IF(INDEX('9 App Info &amp; Stability'!$H$5:$H$11,MATCH(L$6,'9 App Info &amp; Stability'!$A$5:$A$11,0))="","",INDEX('9 App Info &amp; Stability'!$H$5:$H$11,MATCH(L$6,'9 App Info &amp; Stability'!$A$5:$A$11,0))),"")</f>
        <v/>
      </c>
      <c r="M56" s="20">
        <f>IF(COUNT(F56:L56)=0,"",INDEX($F$6:$L$6,MATCH(IF($E56="Lower",MIN(F56:L56),MAX(F56:L56)),F56:L56,0)))</f>
        <v/>
      </c>
      <c r="N56" s="21">
        <f>IF(OR(F56="",COUNT(F56:L56)=0),"",IF($E56="Lower",COUNTIF(F56:L56,"&lt;"&amp;F56),COUNTIF(F56:L56,"&gt;"&amp;F56))+1)</f>
        <v/>
      </c>
      <c r="O56" s="21">
        <f>COUNT(F56:L56)</f>
        <v/>
      </c>
      <c r="P56" s="22">
        <f>IF(OR(F56="",COUNT(F56:L56)&lt;2),"",IF($E56="Lower",IF(MIN(F56:L56)=0,"",(F56-MIN(F56:L56))/MIN(F56:L56)),IF(MAX(F56:L56)=0,"",(MAX(F56:L56)-F56)/MAX(F56:L56))))</f>
        <v/>
      </c>
    </row>
    <row r="58">
      <c r="A58" s="2" t="inlineStr">
        <is>
          <t>RISE rank: 1 = best of the apps measured. RISE gap vs best: how far RISE is behind the best app (0% = RISE is best; above 20% shown in red). Unranked apps (RISE UAT) are shown for reference only.</t>
        </is>
      </c>
    </row>
  </sheetData>
  <autoFilter ref="A6:P56"/>
  <conditionalFormatting sqref="F7:L7">
    <cfRule type="colorScale" priority="1">
      <colorScale>
        <cfvo type="min"/>
        <cfvo type="percentile" val="50"/>
        <cfvo type="max"/>
        <color rgb="0063BE7B"/>
        <color rgb="00FFEB84"/>
        <color rgb="00F8696B"/>
      </colorScale>
    </cfRule>
  </conditionalFormatting>
  <conditionalFormatting sqref="F8:L8">
    <cfRule type="colorScale" priority="2">
      <colorScale>
        <cfvo type="min"/>
        <cfvo type="percentile" val="50"/>
        <cfvo type="max"/>
        <color rgb="0063BE7B"/>
        <color rgb="00FFEB84"/>
        <color rgb="00F8696B"/>
      </colorScale>
    </cfRule>
  </conditionalFormatting>
  <conditionalFormatting sqref="F9:L9">
    <cfRule type="colorScale" priority="3">
      <colorScale>
        <cfvo type="min"/>
        <cfvo type="percentile" val="50"/>
        <cfvo type="max"/>
        <color rgb="0063BE7B"/>
        <color rgb="00FFEB84"/>
        <color rgb="00F8696B"/>
      </colorScale>
    </cfRule>
  </conditionalFormatting>
  <conditionalFormatting sqref="F10:L10">
    <cfRule type="colorScale" priority="4">
      <colorScale>
        <cfvo type="min"/>
        <cfvo type="percentile" val="50"/>
        <cfvo type="max"/>
        <color rgb="0063BE7B"/>
        <color rgb="00FFEB84"/>
        <color rgb="00F8696B"/>
      </colorScale>
    </cfRule>
  </conditionalFormatting>
  <conditionalFormatting sqref="F11:L11">
    <cfRule type="colorScale" priority="5">
      <colorScale>
        <cfvo type="min"/>
        <cfvo type="percentile" val="50"/>
        <cfvo type="max"/>
        <color rgb="0063BE7B"/>
        <color rgb="00FFEB84"/>
        <color rgb="00F8696B"/>
      </colorScale>
    </cfRule>
  </conditionalFormatting>
  <conditionalFormatting sqref="F12:L12">
    <cfRule type="colorScale" priority="6">
      <colorScale>
        <cfvo type="min"/>
        <cfvo type="percentile" val="50"/>
        <cfvo type="max"/>
        <color rgb="0063BE7B"/>
        <color rgb="00FFEB84"/>
        <color rgb="00F8696B"/>
      </colorScale>
    </cfRule>
  </conditionalFormatting>
  <conditionalFormatting sqref="F13:L13">
    <cfRule type="colorScale" priority="7">
      <colorScale>
        <cfvo type="min"/>
        <cfvo type="percentile" val="50"/>
        <cfvo type="max"/>
        <color rgb="0063BE7B"/>
        <color rgb="00FFEB84"/>
        <color rgb="00F8696B"/>
      </colorScale>
    </cfRule>
  </conditionalFormatting>
  <conditionalFormatting sqref="F14:L14">
    <cfRule type="colorScale" priority="8">
      <colorScale>
        <cfvo type="min"/>
        <cfvo type="percentile" val="50"/>
        <cfvo type="max"/>
        <color rgb="0063BE7B"/>
        <color rgb="00FFEB84"/>
        <color rgb="00F8696B"/>
      </colorScale>
    </cfRule>
  </conditionalFormatting>
  <conditionalFormatting sqref="F15:L15">
    <cfRule type="colorScale" priority="9">
      <colorScale>
        <cfvo type="min"/>
        <cfvo type="percentile" val="50"/>
        <cfvo type="max"/>
        <color rgb="0063BE7B"/>
        <color rgb="00FFEB84"/>
        <color rgb="00F8696B"/>
      </colorScale>
    </cfRule>
  </conditionalFormatting>
  <conditionalFormatting sqref="F16:L16">
    <cfRule type="colorScale" priority="10">
      <colorScale>
        <cfvo type="min"/>
        <cfvo type="percentile" val="50"/>
        <cfvo type="max"/>
        <color rgb="0063BE7B"/>
        <color rgb="00FFEB84"/>
        <color rgb="00F8696B"/>
      </colorScale>
    </cfRule>
  </conditionalFormatting>
  <conditionalFormatting sqref="F17:L17">
    <cfRule type="colorScale" priority="11">
      <colorScale>
        <cfvo type="min"/>
        <cfvo type="percentile" val="50"/>
        <cfvo type="max"/>
        <color rgb="0063BE7B"/>
        <color rgb="00FFEB84"/>
        <color rgb="00F8696B"/>
      </colorScale>
    </cfRule>
  </conditionalFormatting>
  <conditionalFormatting sqref="F18:L18">
    <cfRule type="colorScale" priority="12">
      <colorScale>
        <cfvo type="min"/>
        <cfvo type="percentile" val="50"/>
        <cfvo type="max"/>
        <color rgb="0063BE7B"/>
        <color rgb="00FFEB84"/>
        <color rgb="00F8696B"/>
      </colorScale>
    </cfRule>
  </conditionalFormatting>
  <conditionalFormatting sqref="F19:L19">
    <cfRule type="colorScale" priority="13">
      <colorScale>
        <cfvo type="min"/>
        <cfvo type="percentile" val="50"/>
        <cfvo type="max"/>
        <color rgb="0063BE7B"/>
        <color rgb="00FFEB84"/>
        <color rgb="00F8696B"/>
      </colorScale>
    </cfRule>
  </conditionalFormatting>
  <conditionalFormatting sqref="F20:L20">
    <cfRule type="colorScale" priority="14">
      <colorScale>
        <cfvo type="min"/>
        <cfvo type="percentile" val="50"/>
        <cfvo type="max"/>
        <color rgb="0063BE7B"/>
        <color rgb="00FFEB84"/>
        <color rgb="00F8696B"/>
      </colorScale>
    </cfRule>
  </conditionalFormatting>
  <conditionalFormatting sqref="F21:L21">
    <cfRule type="colorScale" priority="15">
      <colorScale>
        <cfvo type="min"/>
        <cfvo type="percentile" val="50"/>
        <cfvo type="max"/>
        <color rgb="0063BE7B"/>
        <color rgb="00FFEB84"/>
        <color rgb="00F8696B"/>
      </colorScale>
    </cfRule>
  </conditionalFormatting>
  <conditionalFormatting sqref="F22:L22">
    <cfRule type="colorScale" priority="16">
      <colorScale>
        <cfvo type="min"/>
        <cfvo type="percentile" val="50"/>
        <cfvo type="max"/>
        <color rgb="0063BE7B"/>
        <color rgb="00FFEB84"/>
        <color rgb="00F8696B"/>
      </colorScale>
    </cfRule>
  </conditionalFormatting>
  <conditionalFormatting sqref="F23:L23">
    <cfRule type="colorScale" priority="17">
      <colorScale>
        <cfvo type="min"/>
        <cfvo type="percentile" val="50"/>
        <cfvo type="max"/>
        <color rgb="0063BE7B"/>
        <color rgb="00FFEB84"/>
        <color rgb="00F8696B"/>
      </colorScale>
    </cfRule>
  </conditionalFormatting>
  <conditionalFormatting sqref="F24:L24">
    <cfRule type="colorScale" priority="18">
      <colorScale>
        <cfvo type="min"/>
        <cfvo type="percentile" val="50"/>
        <cfvo type="max"/>
        <color rgb="0063BE7B"/>
        <color rgb="00FFEB84"/>
        <color rgb="00F8696B"/>
      </colorScale>
    </cfRule>
  </conditionalFormatting>
  <conditionalFormatting sqref="F25:L25">
    <cfRule type="colorScale" priority="19">
      <colorScale>
        <cfvo type="min"/>
        <cfvo type="percentile" val="50"/>
        <cfvo type="max"/>
        <color rgb="0063BE7B"/>
        <color rgb="00FFEB84"/>
        <color rgb="00F8696B"/>
      </colorScale>
    </cfRule>
  </conditionalFormatting>
  <conditionalFormatting sqref="F26:L26">
    <cfRule type="colorScale" priority="20">
      <colorScale>
        <cfvo type="min"/>
        <cfvo type="percentile" val="50"/>
        <cfvo type="max"/>
        <color rgb="00F8696B"/>
        <color rgb="00FFEB84"/>
        <color rgb="0063BE7B"/>
      </colorScale>
    </cfRule>
  </conditionalFormatting>
  <conditionalFormatting sqref="F27:L27">
    <cfRule type="colorScale" priority="21">
      <colorScale>
        <cfvo type="min"/>
        <cfvo type="percentile" val="50"/>
        <cfvo type="max"/>
        <color rgb="0063BE7B"/>
        <color rgb="00FFEB84"/>
        <color rgb="00F8696B"/>
      </colorScale>
    </cfRule>
  </conditionalFormatting>
  <conditionalFormatting sqref="F28:L28">
    <cfRule type="colorScale" priority="22">
      <colorScale>
        <cfvo type="min"/>
        <cfvo type="percentile" val="50"/>
        <cfvo type="max"/>
        <color rgb="0063BE7B"/>
        <color rgb="00FFEB84"/>
        <color rgb="00F8696B"/>
      </colorScale>
    </cfRule>
  </conditionalFormatting>
  <conditionalFormatting sqref="F29:L29">
    <cfRule type="colorScale" priority="23">
      <colorScale>
        <cfvo type="min"/>
        <cfvo type="percentile" val="50"/>
        <cfvo type="max"/>
        <color rgb="00F8696B"/>
        <color rgb="00FFEB84"/>
        <color rgb="0063BE7B"/>
      </colorScale>
    </cfRule>
  </conditionalFormatting>
  <conditionalFormatting sqref="F30:L30">
    <cfRule type="colorScale" priority="24">
      <colorScale>
        <cfvo type="min"/>
        <cfvo type="percentile" val="50"/>
        <cfvo type="max"/>
        <color rgb="0063BE7B"/>
        <color rgb="00FFEB84"/>
        <color rgb="00F8696B"/>
      </colorScale>
    </cfRule>
  </conditionalFormatting>
  <conditionalFormatting sqref="F31:L31">
    <cfRule type="colorScale" priority="25">
      <colorScale>
        <cfvo type="min"/>
        <cfvo type="percentile" val="50"/>
        <cfvo type="max"/>
        <color rgb="0063BE7B"/>
        <color rgb="00FFEB84"/>
        <color rgb="00F8696B"/>
      </colorScale>
    </cfRule>
  </conditionalFormatting>
  <conditionalFormatting sqref="F32:L32">
    <cfRule type="colorScale" priority="26">
      <colorScale>
        <cfvo type="min"/>
        <cfvo type="percentile" val="50"/>
        <cfvo type="max"/>
        <color rgb="0063BE7B"/>
        <color rgb="00FFEB84"/>
        <color rgb="00F8696B"/>
      </colorScale>
    </cfRule>
  </conditionalFormatting>
  <conditionalFormatting sqref="F33:L33">
    <cfRule type="colorScale" priority="27">
      <colorScale>
        <cfvo type="min"/>
        <cfvo type="percentile" val="50"/>
        <cfvo type="max"/>
        <color rgb="0063BE7B"/>
        <color rgb="00FFEB84"/>
        <color rgb="00F8696B"/>
      </colorScale>
    </cfRule>
  </conditionalFormatting>
  <conditionalFormatting sqref="F34:L34">
    <cfRule type="colorScale" priority="28">
      <colorScale>
        <cfvo type="min"/>
        <cfvo type="percentile" val="50"/>
        <cfvo type="max"/>
        <color rgb="00F8696B"/>
        <color rgb="00FFEB84"/>
        <color rgb="0063BE7B"/>
      </colorScale>
    </cfRule>
  </conditionalFormatting>
  <conditionalFormatting sqref="F35:L35">
    <cfRule type="colorScale" priority="29">
      <colorScale>
        <cfvo type="min"/>
        <cfvo type="percentile" val="50"/>
        <cfvo type="max"/>
        <color rgb="00F8696B"/>
        <color rgb="00FFEB84"/>
        <color rgb="0063BE7B"/>
      </colorScale>
    </cfRule>
  </conditionalFormatting>
  <conditionalFormatting sqref="F36:L36">
    <cfRule type="colorScale" priority="30">
      <colorScale>
        <cfvo type="min"/>
        <cfvo type="percentile" val="50"/>
        <cfvo type="max"/>
        <color rgb="0063BE7B"/>
        <color rgb="00FFEB84"/>
        <color rgb="00F8696B"/>
      </colorScale>
    </cfRule>
  </conditionalFormatting>
  <conditionalFormatting sqref="F37:L37">
    <cfRule type="colorScale" priority="31">
      <colorScale>
        <cfvo type="min"/>
        <cfvo type="percentile" val="50"/>
        <cfvo type="max"/>
        <color rgb="0063BE7B"/>
        <color rgb="00FFEB84"/>
        <color rgb="00F8696B"/>
      </colorScale>
    </cfRule>
  </conditionalFormatting>
  <conditionalFormatting sqref="F38:L38">
    <cfRule type="colorScale" priority="32">
      <colorScale>
        <cfvo type="min"/>
        <cfvo type="percentile" val="50"/>
        <cfvo type="max"/>
        <color rgb="0063BE7B"/>
        <color rgb="00FFEB84"/>
        <color rgb="00F8696B"/>
      </colorScale>
    </cfRule>
  </conditionalFormatting>
  <conditionalFormatting sqref="F39:L39">
    <cfRule type="colorScale" priority="33">
      <colorScale>
        <cfvo type="min"/>
        <cfvo type="percentile" val="50"/>
        <cfvo type="max"/>
        <color rgb="0063BE7B"/>
        <color rgb="00FFEB84"/>
        <color rgb="00F8696B"/>
      </colorScale>
    </cfRule>
  </conditionalFormatting>
  <conditionalFormatting sqref="F40:L40">
    <cfRule type="colorScale" priority="34">
      <colorScale>
        <cfvo type="min"/>
        <cfvo type="percentile" val="50"/>
        <cfvo type="max"/>
        <color rgb="0063BE7B"/>
        <color rgb="00FFEB84"/>
        <color rgb="00F8696B"/>
      </colorScale>
    </cfRule>
  </conditionalFormatting>
  <conditionalFormatting sqref="F41:L41">
    <cfRule type="colorScale" priority="35">
      <colorScale>
        <cfvo type="min"/>
        <cfvo type="percentile" val="50"/>
        <cfvo type="max"/>
        <color rgb="0063BE7B"/>
        <color rgb="00FFEB84"/>
        <color rgb="00F8696B"/>
      </colorScale>
    </cfRule>
  </conditionalFormatting>
  <conditionalFormatting sqref="F42:L42">
    <cfRule type="colorScale" priority="36">
      <colorScale>
        <cfvo type="min"/>
        <cfvo type="percentile" val="50"/>
        <cfvo type="max"/>
        <color rgb="0063BE7B"/>
        <color rgb="00FFEB84"/>
        <color rgb="00F8696B"/>
      </colorScale>
    </cfRule>
  </conditionalFormatting>
  <conditionalFormatting sqref="F43:L43">
    <cfRule type="colorScale" priority="37">
      <colorScale>
        <cfvo type="min"/>
        <cfvo type="percentile" val="50"/>
        <cfvo type="max"/>
        <color rgb="0063BE7B"/>
        <color rgb="00FFEB84"/>
        <color rgb="00F8696B"/>
      </colorScale>
    </cfRule>
  </conditionalFormatting>
  <conditionalFormatting sqref="F44:L44">
    <cfRule type="colorScale" priority="38">
      <colorScale>
        <cfvo type="min"/>
        <cfvo type="percentile" val="50"/>
        <cfvo type="max"/>
        <color rgb="0063BE7B"/>
        <color rgb="00FFEB84"/>
        <color rgb="00F8696B"/>
      </colorScale>
    </cfRule>
  </conditionalFormatting>
  <conditionalFormatting sqref="F45:L45">
    <cfRule type="colorScale" priority="39">
      <colorScale>
        <cfvo type="min"/>
        <cfvo type="percentile" val="50"/>
        <cfvo type="max"/>
        <color rgb="0063BE7B"/>
        <color rgb="00FFEB84"/>
        <color rgb="00F8696B"/>
      </colorScale>
    </cfRule>
  </conditionalFormatting>
  <conditionalFormatting sqref="F46:L46">
    <cfRule type="colorScale" priority="40">
      <colorScale>
        <cfvo type="min"/>
        <cfvo type="percentile" val="50"/>
        <cfvo type="max"/>
        <color rgb="0063BE7B"/>
        <color rgb="00FFEB84"/>
        <color rgb="00F8696B"/>
      </colorScale>
    </cfRule>
  </conditionalFormatting>
  <conditionalFormatting sqref="F47:L47">
    <cfRule type="colorScale" priority="41">
      <colorScale>
        <cfvo type="min"/>
        <cfvo type="percentile" val="50"/>
        <cfvo type="max"/>
        <color rgb="0063BE7B"/>
        <color rgb="00FFEB84"/>
        <color rgb="00F8696B"/>
      </colorScale>
    </cfRule>
  </conditionalFormatting>
  <conditionalFormatting sqref="F48:L48">
    <cfRule type="colorScale" priority="42">
      <colorScale>
        <cfvo type="min"/>
        <cfvo type="percentile" val="50"/>
        <cfvo type="max"/>
        <color rgb="0063BE7B"/>
        <color rgb="00FFEB84"/>
        <color rgb="00F8696B"/>
      </colorScale>
    </cfRule>
  </conditionalFormatting>
  <conditionalFormatting sqref="F49:L49">
    <cfRule type="colorScale" priority="43">
      <colorScale>
        <cfvo type="min"/>
        <cfvo type="percentile" val="50"/>
        <cfvo type="max"/>
        <color rgb="0063BE7B"/>
        <color rgb="00FFEB84"/>
        <color rgb="00F8696B"/>
      </colorScale>
    </cfRule>
  </conditionalFormatting>
  <conditionalFormatting sqref="F50:L50">
    <cfRule type="colorScale" priority="44">
      <colorScale>
        <cfvo type="min"/>
        <cfvo type="percentile" val="50"/>
        <cfvo type="max"/>
        <color rgb="0063BE7B"/>
        <color rgb="00FFEB84"/>
        <color rgb="00F8696B"/>
      </colorScale>
    </cfRule>
  </conditionalFormatting>
  <conditionalFormatting sqref="F51:L51">
    <cfRule type="colorScale" priority="45">
      <colorScale>
        <cfvo type="min"/>
        <cfvo type="percentile" val="50"/>
        <cfvo type="max"/>
        <color rgb="0063BE7B"/>
        <color rgb="00FFEB84"/>
        <color rgb="00F8696B"/>
      </colorScale>
    </cfRule>
  </conditionalFormatting>
  <conditionalFormatting sqref="F52:L52">
    <cfRule type="colorScale" priority="46">
      <colorScale>
        <cfvo type="min"/>
        <cfvo type="percentile" val="50"/>
        <cfvo type="max"/>
        <color rgb="0063BE7B"/>
        <color rgb="00FFEB84"/>
        <color rgb="00F8696B"/>
      </colorScale>
    </cfRule>
  </conditionalFormatting>
  <conditionalFormatting sqref="F53:L53">
    <cfRule type="colorScale" priority="47">
      <colorScale>
        <cfvo type="min"/>
        <cfvo type="percentile" val="50"/>
        <cfvo type="max"/>
        <color rgb="0063BE7B"/>
        <color rgb="00FFEB84"/>
        <color rgb="00F8696B"/>
      </colorScale>
    </cfRule>
  </conditionalFormatting>
  <conditionalFormatting sqref="F54:L54">
    <cfRule type="colorScale" priority="48">
      <colorScale>
        <cfvo type="min"/>
        <cfvo type="percentile" val="50"/>
        <cfvo type="max"/>
        <color rgb="0063BE7B"/>
        <color rgb="00FFEB84"/>
        <color rgb="00F8696B"/>
      </colorScale>
    </cfRule>
  </conditionalFormatting>
  <conditionalFormatting sqref="F55:L55">
    <cfRule type="colorScale" priority="49">
      <colorScale>
        <cfvo type="min"/>
        <cfvo type="percentile" val="50"/>
        <cfvo type="max"/>
        <color rgb="00F8696B"/>
        <color rgb="00FFEB84"/>
        <color rgb="0063BE7B"/>
      </colorScale>
    </cfRule>
  </conditionalFormatting>
  <conditionalFormatting sqref="F56:L56">
    <cfRule type="colorScale" priority="50">
      <colorScale>
        <cfvo type="min"/>
        <cfvo type="percentile" val="50"/>
        <cfvo type="max"/>
        <color rgb="0063BE7B"/>
        <color rgb="00FFEB84"/>
        <color rgb="00F8696B"/>
      </colorScale>
    </cfRule>
  </conditionalFormatting>
  <conditionalFormatting sqref="M7:M56">
    <cfRule type="cellIs" priority="51" operator="equal" dxfId="0">
      <formula>"RISE"</formula>
    </cfRule>
  </conditionalFormatting>
  <conditionalFormatting sqref="P7:P56">
    <cfRule type="cellIs" priority="52" operator="greaterThan" dxfId="1">
      <formula>0.2</formula>
    </cfRule>
  </conditionalFormatting>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Z89"/>
  <sheetViews>
    <sheetView showGridLines="0" workbookViewId="0">
      <pane ySplit="4" topLeftCell="A5" activePane="bottomLeft" state="frozen"/>
      <selection pane="bottomLeft" activeCell="A1" sqref="A1"/>
    </sheetView>
  </sheetViews>
  <sheetFormatPr baseColWidth="8" defaultRowHeight="15"/>
  <cols>
    <col width="26" customWidth="1" min="1" max="1"/>
    <col width="18" customWidth="1" min="2" max="2"/>
    <col width="2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Scorecard — Overall Ranking</t>
        </is>
      </c>
    </row>
    <row r="2">
      <c r="A2" s="2" t="inlineStr">
        <is>
          <t>Each metric is scored 0–100 (best app = 100, worst = 0), averaged per category, then weighted into one overall score. Weights come from weights.json.</t>
        </is>
      </c>
    </row>
    <row r="3">
      <c r="A3" s="12">
        <f>"Device: "&amp;Summary!C3</f>
        <v/>
      </c>
    </row>
    <row r="4">
      <c r="A4" s="3" t="inlineStr">
        <is>
          <t>Leaderboard</t>
        </is>
      </c>
    </row>
    <row r="5" ht="32" customHeight="1">
      <c r="A5" s="10" t="inlineStr">
        <is>
          <t>Rank</t>
        </is>
      </c>
      <c r="B5" s="10" t="inlineStr">
        <is>
          <t>App</t>
        </is>
      </c>
      <c r="C5" s="10" t="inlineStr">
        <is>
          <t>Overall score (0–100)</t>
        </is>
      </c>
      <c r="D5" s="10" t="inlineStr">
        <is>
          <t>Data coverage</t>
        </is>
      </c>
    </row>
    <row r="6">
      <c r="A6" s="21" t="n">
        <v>1</v>
      </c>
      <c r="B6" s="27">
        <f>IFERROR(INDEX($C$16:$I$16,MATCH(LARGE($C$33:$I$33,1),$C$33:$I$33,0)),"")</f>
        <v/>
      </c>
      <c r="C6" s="59">
        <f>IFERROR(INDEX($C$30:$I$30,MATCH(LARGE($C$33:$I$33,1),$C$33:$I$33,0)),"")</f>
        <v/>
      </c>
      <c r="D6" s="22">
        <f>IFERROR(INDEX($C$31:$I$31,MATCH(LARGE($C$33:$I$33,1),$C$33:$I$33,0)),"")</f>
        <v/>
      </c>
    </row>
    <row r="7">
      <c r="A7" s="21" t="n">
        <v>2</v>
      </c>
      <c r="B7" s="27">
        <f>IFERROR(INDEX($C$16:$I$16,MATCH(LARGE($C$33:$I$33,2),$C$33:$I$33,0)),"")</f>
        <v/>
      </c>
      <c r="C7" s="59">
        <f>IFERROR(INDEX($C$30:$I$30,MATCH(LARGE($C$33:$I$33,2),$C$33:$I$33,0)),"")</f>
        <v/>
      </c>
      <c r="D7" s="22">
        <f>IFERROR(INDEX($C$31:$I$31,MATCH(LARGE($C$33:$I$33,2),$C$33:$I$33,0)),"")</f>
        <v/>
      </c>
    </row>
    <row r="8">
      <c r="A8" s="21" t="n">
        <v>3</v>
      </c>
      <c r="B8" s="27">
        <f>IFERROR(INDEX($C$16:$I$16,MATCH(LARGE($C$33:$I$33,3),$C$33:$I$33,0)),"")</f>
        <v/>
      </c>
      <c r="C8" s="59">
        <f>IFERROR(INDEX($C$30:$I$30,MATCH(LARGE($C$33:$I$33,3),$C$33:$I$33,0)),"")</f>
        <v/>
      </c>
      <c r="D8" s="22">
        <f>IFERROR(INDEX($C$31:$I$31,MATCH(LARGE($C$33:$I$33,3),$C$33:$I$33,0)),"")</f>
        <v/>
      </c>
    </row>
    <row r="9">
      <c r="A9" s="21" t="n">
        <v>4</v>
      </c>
      <c r="B9" s="27">
        <f>IFERROR(INDEX($C$16:$I$16,MATCH(LARGE($C$33:$I$33,4),$C$33:$I$33,0)),"")</f>
        <v/>
      </c>
      <c r="C9" s="59">
        <f>IFERROR(INDEX($C$30:$I$30,MATCH(LARGE($C$33:$I$33,4),$C$33:$I$33,0)),"")</f>
        <v/>
      </c>
      <c r="D9" s="22">
        <f>IFERROR(INDEX($C$31:$I$31,MATCH(LARGE($C$33:$I$33,4),$C$33:$I$33,0)),"")</f>
        <v/>
      </c>
    </row>
    <row r="10">
      <c r="A10" s="21" t="n">
        <v>5</v>
      </c>
      <c r="B10" s="27">
        <f>IFERROR(INDEX($C$16:$I$16,MATCH(LARGE($C$33:$I$33,5),$C$33:$I$33,0)),"")</f>
        <v/>
      </c>
      <c r="C10" s="59">
        <f>IFERROR(INDEX($C$30:$I$30,MATCH(LARGE($C$33:$I$33,5),$C$33:$I$33,0)),"")</f>
        <v/>
      </c>
      <c r="D10" s="22">
        <f>IFERROR(INDEX($C$31:$I$31,MATCH(LARGE($C$33:$I$33,5),$C$33:$I$33,0)),"")</f>
        <v/>
      </c>
    </row>
    <row r="11">
      <c r="A11" s="21" t="n">
        <v>6</v>
      </c>
      <c r="B11" s="27">
        <f>IFERROR(INDEX($C$16:$I$16,MATCH(LARGE($C$33:$I$33,6),$C$33:$I$33,0)),"")</f>
        <v/>
      </c>
      <c r="C11" s="59">
        <f>IFERROR(INDEX($C$30:$I$30,MATCH(LARGE($C$33:$I$33,6),$C$33:$I$33,0)),"")</f>
        <v/>
      </c>
      <c r="D11" s="22">
        <f>IFERROR(INDEX($C$31:$I$31,MATCH(LARGE($C$33:$I$33,6),$C$33:$I$33,0)),"")</f>
        <v/>
      </c>
    </row>
    <row r="12">
      <c r="A12" s="21" t="n">
        <v>7</v>
      </c>
      <c r="B12" s="27">
        <f>IFERROR(INDEX($C$16:$I$16,MATCH(LARGE($C$33:$I$33,7),$C$33:$I$33,0)),"")</f>
        <v/>
      </c>
      <c r="C12" s="59">
        <f>IFERROR(INDEX($C$30:$I$30,MATCH(LARGE($C$33:$I$33,7),$C$33:$I$33,0)),"")</f>
        <v/>
      </c>
      <c r="D12" s="22">
        <f>IFERROR(INDEX($C$31:$I$31,MATCH(LARGE($C$33:$I$33,7),$C$33:$I$33,0)),"")</f>
        <v/>
      </c>
    </row>
    <row r="15">
      <c r="A15" s="3" t="inlineStr">
        <is>
          <t>Category scores (weights from weights.json, read-only here)</t>
        </is>
      </c>
      <c r="L15" s="2" t="inlineStr">
        <is>
          <t>Helper: weight × score (don't edit)</t>
        </is>
      </c>
      <c r="T15" s="2" t="inlineStr">
        <is>
          <t>Helper: weight used (don't edit)</t>
        </is>
      </c>
    </row>
    <row r="16" ht="32" customHeight="1">
      <c r="A16" s="10" t="inlineStr">
        <is>
          <t>Category</t>
        </is>
      </c>
      <c r="B16" s="10" t="inlineStr">
        <is>
          <t>Weight</t>
        </is>
      </c>
      <c r="C16" s="16" t="inlineStr">
        <is>
          <t>RISE</t>
        </is>
      </c>
      <c r="D16" s="10" t="inlineStr">
        <is>
          <t>Kite</t>
        </is>
      </c>
      <c r="E16" s="10" t="inlineStr">
        <is>
          <t>Groww</t>
        </is>
      </c>
      <c r="F16" s="10" t="inlineStr">
        <is>
          <t>Angel One</t>
        </is>
      </c>
      <c r="G16" s="10" t="inlineStr">
        <is>
          <t>INDmoney</t>
        </is>
      </c>
      <c r="H16" s="10" t="inlineStr">
        <is>
          <t>Kotak Neo</t>
        </is>
      </c>
      <c r="I16" s="10" t="inlineStr">
        <is>
          <t>SAHI</t>
        </is>
      </c>
      <c r="L16" s="29" t="inlineStr">
        <is>
          <t>RISE</t>
        </is>
      </c>
      <c r="M16" s="29" t="inlineStr">
        <is>
          <t>Kite</t>
        </is>
      </c>
      <c r="N16" s="29" t="inlineStr">
        <is>
          <t>Groww</t>
        </is>
      </c>
      <c r="O16" s="29" t="inlineStr">
        <is>
          <t>Angel One</t>
        </is>
      </c>
      <c r="P16" s="29" t="inlineStr">
        <is>
          <t>INDmoney</t>
        </is>
      </c>
      <c r="Q16" s="29" t="inlineStr">
        <is>
          <t>Kotak Neo</t>
        </is>
      </c>
      <c r="R16" s="29" t="inlineStr">
        <is>
          <t>SAHI</t>
        </is>
      </c>
      <c r="T16" s="29" t="inlineStr">
        <is>
          <t>RISE</t>
        </is>
      </c>
      <c r="U16" s="29" t="inlineStr">
        <is>
          <t>Kite</t>
        </is>
      </c>
      <c r="V16" s="29" t="inlineStr">
        <is>
          <t>Groww</t>
        </is>
      </c>
      <c r="W16" s="29" t="inlineStr">
        <is>
          <t>Angel One</t>
        </is>
      </c>
      <c r="X16" s="29" t="inlineStr">
        <is>
          <t>INDmoney</t>
        </is>
      </c>
      <c r="Y16" s="29" t="inlineStr">
        <is>
          <t>Kotak Neo</t>
        </is>
      </c>
      <c r="Z16" s="29" t="inlineStr">
        <is>
          <t>SAHI</t>
        </is>
      </c>
    </row>
    <row r="17">
      <c r="A17" s="27" t="inlineStr">
        <is>
          <t>Loading Time</t>
        </is>
      </c>
      <c r="B17" s="30" t="n">
        <v>20</v>
      </c>
      <c r="C17" s="31">
        <f>IFERROR(AVERAGEIFS(C$38:C$87,$B$38:$B$87,$A17),"")</f>
        <v/>
      </c>
      <c r="D17" s="32">
        <f>IFERROR(AVERAGEIFS(D$38:D$87,$B$38:$B$87,$A17),"")</f>
        <v/>
      </c>
      <c r="E17" s="32">
        <f>IFERROR(AVERAGEIFS(E$38:E$87,$B$38:$B$87,$A17),"")</f>
        <v/>
      </c>
      <c r="F17" s="32">
        <f>IFERROR(AVERAGEIFS(F$38:F$87,$B$38:$B$87,$A17),"")</f>
        <v/>
      </c>
      <c r="G17" s="32">
        <f>IFERROR(AVERAGEIFS(G$38:G$87,$B$38:$B$87,$A17),"")</f>
        <v/>
      </c>
      <c r="H17" s="32">
        <f>IFERROR(AVERAGEIFS(H$38:H$87,$B$38:$B$87,$A17),"")</f>
        <v/>
      </c>
      <c r="I17" s="32">
        <f>IFERROR(AVERAGEIFS(I$38:I$87,$B$38:$B$87,$A17),"")</f>
        <v/>
      </c>
      <c r="L17" s="33">
        <f>IF(ISNUMBER(C17),$B17*C17,"")</f>
        <v/>
      </c>
      <c r="M17" s="33">
        <f>IF(ISNUMBER(D17),$B17*D17,"")</f>
        <v/>
      </c>
      <c r="N17" s="33">
        <f>IF(ISNUMBER(E17),$B17*E17,"")</f>
        <v/>
      </c>
      <c r="O17" s="33">
        <f>IF(ISNUMBER(F17),$B17*F17,"")</f>
        <v/>
      </c>
      <c r="P17" s="33">
        <f>IF(ISNUMBER(G17),$B17*G17,"")</f>
        <v/>
      </c>
      <c r="Q17" s="33">
        <f>IF(ISNUMBER(H17),$B17*H17,"")</f>
        <v/>
      </c>
      <c r="R17" s="33">
        <f>IF(ISNUMBER(I17),$B17*I17,"")</f>
        <v/>
      </c>
      <c r="T17" s="33">
        <f>IF(ISNUMBER(C17),$B17,"")</f>
        <v/>
      </c>
      <c r="U17" s="33">
        <f>IF(ISNUMBER(D17),$B17,"")</f>
        <v/>
      </c>
      <c r="V17" s="33">
        <f>IF(ISNUMBER(E17),$B17,"")</f>
        <v/>
      </c>
      <c r="W17" s="33">
        <f>IF(ISNUMBER(F17),$B17,"")</f>
        <v/>
      </c>
      <c r="X17" s="33">
        <f>IF(ISNUMBER(G17),$B17,"")</f>
        <v/>
      </c>
      <c r="Y17" s="33">
        <f>IF(ISNUMBER(H17),$B17,"")</f>
        <v/>
      </c>
      <c r="Z17" s="33">
        <f>IF(ISNUMBER(I17),$B17,"")</f>
        <v/>
      </c>
    </row>
    <row r="18">
      <c r="A18" s="27" t="inlineStr">
        <is>
          <t>User-wise</t>
        </is>
      </c>
      <c r="B18" s="30" t="n">
        <v>5</v>
      </c>
      <c r="C18" s="31">
        <f>IFERROR(AVERAGEIFS(C$38:C$87,$B$38:$B$87,$A18),"")</f>
        <v/>
      </c>
      <c r="D18" s="32">
        <f>IFERROR(AVERAGEIFS(D$38:D$87,$B$38:$B$87,$A18),"")</f>
        <v/>
      </c>
      <c r="E18" s="32">
        <f>IFERROR(AVERAGEIFS(E$38:E$87,$B$38:$B$87,$A18),"")</f>
        <v/>
      </c>
      <c r="F18" s="32">
        <f>IFERROR(AVERAGEIFS(F$38:F$87,$B$38:$B$87,$A18),"")</f>
        <v/>
      </c>
      <c r="G18" s="32">
        <f>IFERROR(AVERAGEIFS(G$38:G$87,$B$38:$B$87,$A18),"")</f>
        <v/>
      </c>
      <c r="H18" s="32">
        <f>IFERROR(AVERAGEIFS(H$38:H$87,$B$38:$B$87,$A18),"")</f>
        <v/>
      </c>
      <c r="I18" s="32">
        <f>IFERROR(AVERAGEIFS(I$38:I$87,$B$38:$B$87,$A18),"")</f>
        <v/>
      </c>
      <c r="L18" s="33">
        <f>IF(ISNUMBER(C18),$B18*C18,"")</f>
        <v/>
      </c>
      <c r="M18" s="33">
        <f>IF(ISNUMBER(D18),$B18*D18,"")</f>
        <v/>
      </c>
      <c r="N18" s="33">
        <f>IF(ISNUMBER(E18),$B18*E18,"")</f>
        <v/>
      </c>
      <c r="O18" s="33">
        <f>IF(ISNUMBER(F18),$B18*F18,"")</f>
        <v/>
      </c>
      <c r="P18" s="33">
        <f>IF(ISNUMBER(G18),$B18*G18,"")</f>
        <v/>
      </c>
      <c r="Q18" s="33">
        <f>IF(ISNUMBER(H18),$B18*H18,"")</f>
        <v/>
      </c>
      <c r="R18" s="33">
        <f>IF(ISNUMBER(I18),$B18*I18,"")</f>
        <v/>
      </c>
      <c r="T18" s="33">
        <f>IF(ISNUMBER(C18),$B18,"")</f>
        <v/>
      </c>
      <c r="U18" s="33">
        <f>IF(ISNUMBER(D18),$B18,"")</f>
        <v/>
      </c>
      <c r="V18" s="33">
        <f>IF(ISNUMBER(E18),$B18,"")</f>
        <v/>
      </c>
      <c r="W18" s="33">
        <f>IF(ISNUMBER(F18),$B18,"")</f>
        <v/>
      </c>
      <c r="X18" s="33">
        <f>IF(ISNUMBER(G18),$B18,"")</f>
        <v/>
      </c>
      <c r="Y18" s="33">
        <f>IF(ISNUMBER(H18),$B18,"")</f>
        <v/>
      </c>
      <c r="Z18" s="33">
        <f>IF(ISNUMBER(I18),$B18,"")</f>
        <v/>
      </c>
    </row>
    <row r="19">
      <c r="A19" s="27" t="inlineStr">
        <is>
          <t>API / Network</t>
        </is>
      </c>
      <c r="B19" s="30" t="n">
        <v>5</v>
      </c>
      <c r="C19" s="31">
        <f>IFERROR(AVERAGEIFS(C$38:C$87,$B$38:$B$87,$A19),"")</f>
        <v/>
      </c>
      <c r="D19" s="32">
        <f>IFERROR(AVERAGEIFS(D$38:D$87,$B$38:$B$87,$A19),"")</f>
        <v/>
      </c>
      <c r="E19" s="32">
        <f>IFERROR(AVERAGEIFS(E$38:E$87,$B$38:$B$87,$A19),"")</f>
        <v/>
      </c>
      <c r="F19" s="32">
        <f>IFERROR(AVERAGEIFS(F$38:F$87,$B$38:$B$87,$A19),"")</f>
        <v/>
      </c>
      <c r="G19" s="32">
        <f>IFERROR(AVERAGEIFS(G$38:G$87,$B$38:$B$87,$A19),"")</f>
        <v/>
      </c>
      <c r="H19" s="32">
        <f>IFERROR(AVERAGEIFS(H$38:H$87,$B$38:$B$87,$A19),"")</f>
        <v/>
      </c>
      <c r="I19" s="32">
        <f>IFERROR(AVERAGEIFS(I$38:I$87,$B$38:$B$87,$A19),"")</f>
        <v/>
      </c>
      <c r="L19" s="33">
        <f>IF(ISNUMBER(C19),$B19*C19,"")</f>
        <v/>
      </c>
      <c r="M19" s="33">
        <f>IF(ISNUMBER(D19),$B19*D19,"")</f>
        <v/>
      </c>
      <c r="N19" s="33">
        <f>IF(ISNUMBER(E19),$B19*E19,"")</f>
        <v/>
      </c>
      <c r="O19" s="33">
        <f>IF(ISNUMBER(F19),$B19*F19,"")</f>
        <v/>
      </c>
      <c r="P19" s="33">
        <f>IF(ISNUMBER(G19),$B19*G19,"")</f>
        <v/>
      </c>
      <c r="Q19" s="33">
        <f>IF(ISNUMBER(H19),$B19*H19,"")</f>
        <v/>
      </c>
      <c r="R19" s="33">
        <f>IF(ISNUMBER(I19),$B19*I19,"")</f>
        <v/>
      </c>
      <c r="T19" s="33">
        <f>IF(ISNUMBER(C19),$B19,"")</f>
        <v/>
      </c>
      <c r="U19" s="33">
        <f>IF(ISNUMBER(D19),$B19,"")</f>
        <v/>
      </c>
      <c r="V19" s="33">
        <f>IF(ISNUMBER(E19),$B19,"")</f>
        <v/>
      </c>
      <c r="W19" s="33">
        <f>IF(ISNUMBER(F19),$B19,"")</f>
        <v/>
      </c>
      <c r="X19" s="33">
        <f>IF(ISNUMBER(G19),$B19,"")</f>
        <v/>
      </c>
      <c r="Y19" s="33">
        <f>IF(ISNUMBER(H19),$B19,"")</f>
        <v/>
      </c>
      <c r="Z19" s="33">
        <f>IF(ISNUMBER(I19),$B19,"")</f>
        <v/>
      </c>
    </row>
    <row r="20">
      <c r="A20" s="27" t="inlineStr">
        <is>
          <t>Offline</t>
        </is>
      </c>
      <c r="B20" s="30" t="n">
        <v>5</v>
      </c>
      <c r="C20" s="31">
        <f>IFERROR(AVERAGEIFS(C$38:C$87,$B$38:$B$87,$A20),"")</f>
        <v/>
      </c>
      <c r="D20" s="32">
        <f>IFERROR(AVERAGEIFS(D$38:D$87,$B$38:$B$87,$A20),"")</f>
        <v/>
      </c>
      <c r="E20" s="32">
        <f>IFERROR(AVERAGEIFS(E$38:E$87,$B$38:$B$87,$A20),"")</f>
        <v/>
      </c>
      <c r="F20" s="32">
        <f>IFERROR(AVERAGEIFS(F$38:F$87,$B$38:$B$87,$A20),"")</f>
        <v/>
      </c>
      <c r="G20" s="32">
        <f>IFERROR(AVERAGEIFS(G$38:G$87,$B$38:$B$87,$A20),"")</f>
        <v/>
      </c>
      <c r="H20" s="32">
        <f>IFERROR(AVERAGEIFS(H$38:H$87,$B$38:$B$87,$A20),"")</f>
        <v/>
      </c>
      <c r="I20" s="32">
        <f>IFERROR(AVERAGEIFS(I$38:I$87,$B$38:$B$87,$A20),"")</f>
        <v/>
      </c>
      <c r="L20" s="33">
        <f>IF(ISNUMBER(C20),$B20*C20,"")</f>
        <v/>
      </c>
      <c r="M20" s="33">
        <f>IF(ISNUMBER(D20),$B20*D20,"")</f>
        <v/>
      </c>
      <c r="N20" s="33">
        <f>IF(ISNUMBER(E20),$B20*E20,"")</f>
        <v/>
      </c>
      <c r="O20" s="33">
        <f>IF(ISNUMBER(F20),$B20*F20,"")</f>
        <v/>
      </c>
      <c r="P20" s="33">
        <f>IF(ISNUMBER(G20),$B20*G20,"")</f>
        <v/>
      </c>
      <c r="Q20" s="33">
        <f>IF(ISNUMBER(H20),$B20*H20,"")</f>
        <v/>
      </c>
      <c r="R20" s="33">
        <f>IF(ISNUMBER(I20),$B20*I20,"")</f>
        <v/>
      </c>
      <c r="T20" s="33">
        <f>IF(ISNUMBER(C20),$B20,"")</f>
        <v/>
      </c>
      <c r="U20" s="33">
        <f>IF(ISNUMBER(D20),$B20,"")</f>
        <v/>
      </c>
      <c r="V20" s="33">
        <f>IF(ISNUMBER(E20),$B20,"")</f>
        <v/>
      </c>
      <c r="W20" s="33">
        <f>IF(ISNUMBER(F20),$B20,"")</f>
        <v/>
      </c>
      <c r="X20" s="33">
        <f>IF(ISNUMBER(G20),$B20,"")</f>
        <v/>
      </c>
      <c r="Y20" s="33">
        <f>IF(ISNUMBER(H20),$B20,"")</f>
        <v/>
      </c>
      <c r="Z20" s="33">
        <f>IF(ISNUMBER(I20),$B20,"")</f>
        <v/>
      </c>
    </row>
    <row r="21">
      <c r="A21" s="27" t="inlineStr">
        <is>
          <t>Scroll &amp; Gesture</t>
        </is>
      </c>
      <c r="B21" s="30" t="n">
        <v>15</v>
      </c>
      <c r="C21" s="31">
        <f>IFERROR(AVERAGEIFS(C$38:C$87,$B$38:$B$87,$A21),"")</f>
        <v/>
      </c>
      <c r="D21" s="32">
        <f>IFERROR(AVERAGEIFS(D$38:D$87,$B$38:$B$87,$A21),"")</f>
        <v/>
      </c>
      <c r="E21" s="32">
        <f>IFERROR(AVERAGEIFS(E$38:E$87,$B$38:$B$87,$A21),"")</f>
        <v/>
      </c>
      <c r="F21" s="32">
        <f>IFERROR(AVERAGEIFS(F$38:F$87,$B$38:$B$87,$A21),"")</f>
        <v/>
      </c>
      <c r="G21" s="32">
        <f>IFERROR(AVERAGEIFS(G$38:G$87,$B$38:$B$87,$A21),"")</f>
        <v/>
      </c>
      <c r="H21" s="32">
        <f>IFERROR(AVERAGEIFS(H$38:H$87,$B$38:$B$87,$A21),"")</f>
        <v/>
      </c>
      <c r="I21" s="32">
        <f>IFERROR(AVERAGEIFS(I$38:I$87,$B$38:$B$87,$A21),"")</f>
        <v/>
      </c>
      <c r="L21" s="33">
        <f>IF(ISNUMBER(C21),$B21*C21,"")</f>
        <v/>
      </c>
      <c r="M21" s="33">
        <f>IF(ISNUMBER(D21),$B21*D21,"")</f>
        <v/>
      </c>
      <c r="N21" s="33">
        <f>IF(ISNUMBER(E21),$B21*E21,"")</f>
        <v/>
      </c>
      <c r="O21" s="33">
        <f>IF(ISNUMBER(F21),$B21*F21,"")</f>
        <v/>
      </c>
      <c r="P21" s="33">
        <f>IF(ISNUMBER(G21),$B21*G21,"")</f>
        <v/>
      </c>
      <c r="Q21" s="33">
        <f>IF(ISNUMBER(H21),$B21*H21,"")</f>
        <v/>
      </c>
      <c r="R21" s="33">
        <f>IF(ISNUMBER(I21),$B21*I21,"")</f>
        <v/>
      </c>
      <c r="T21" s="33">
        <f>IF(ISNUMBER(C21),$B21,"")</f>
        <v/>
      </c>
      <c r="U21" s="33">
        <f>IF(ISNUMBER(D21),$B21,"")</f>
        <v/>
      </c>
      <c r="V21" s="33">
        <f>IF(ISNUMBER(E21),$B21,"")</f>
        <v/>
      </c>
      <c r="W21" s="33">
        <f>IF(ISNUMBER(F21),$B21,"")</f>
        <v/>
      </c>
      <c r="X21" s="33">
        <f>IF(ISNUMBER(G21),$B21,"")</f>
        <v/>
      </c>
      <c r="Y21" s="33">
        <f>IF(ISNUMBER(H21),$B21,"")</f>
        <v/>
      </c>
      <c r="Z21" s="33">
        <f>IF(ISNUMBER(I21),$B21,"")</f>
        <v/>
      </c>
    </row>
    <row r="22">
      <c r="A22" s="27" t="inlineStr">
        <is>
          <t>Screen Updation</t>
        </is>
      </c>
      <c r="B22" s="30" t="n">
        <v>15</v>
      </c>
      <c r="C22" s="31">
        <f>IFERROR(AVERAGEIFS(C$38:C$87,$B$38:$B$87,$A22),"")</f>
        <v/>
      </c>
      <c r="D22" s="32">
        <f>IFERROR(AVERAGEIFS(D$38:D$87,$B$38:$B$87,$A22),"")</f>
        <v/>
      </c>
      <c r="E22" s="32">
        <f>IFERROR(AVERAGEIFS(E$38:E$87,$B$38:$B$87,$A22),"")</f>
        <v/>
      </c>
      <c r="F22" s="32">
        <f>IFERROR(AVERAGEIFS(F$38:F$87,$B$38:$B$87,$A22),"")</f>
        <v/>
      </c>
      <c r="G22" s="32">
        <f>IFERROR(AVERAGEIFS(G$38:G$87,$B$38:$B$87,$A22),"")</f>
        <v/>
      </c>
      <c r="H22" s="32">
        <f>IFERROR(AVERAGEIFS(H$38:H$87,$B$38:$B$87,$A22),"")</f>
        <v/>
      </c>
      <c r="I22" s="32">
        <f>IFERROR(AVERAGEIFS(I$38:I$87,$B$38:$B$87,$A22),"")</f>
        <v/>
      </c>
      <c r="L22" s="33">
        <f>IF(ISNUMBER(C22),$B22*C22,"")</f>
        <v/>
      </c>
      <c r="M22" s="33">
        <f>IF(ISNUMBER(D22),$B22*D22,"")</f>
        <v/>
      </c>
      <c r="N22" s="33">
        <f>IF(ISNUMBER(E22),$B22*E22,"")</f>
        <v/>
      </c>
      <c r="O22" s="33">
        <f>IF(ISNUMBER(F22),$B22*F22,"")</f>
        <v/>
      </c>
      <c r="P22" s="33">
        <f>IF(ISNUMBER(G22),$B22*G22,"")</f>
        <v/>
      </c>
      <c r="Q22" s="33">
        <f>IF(ISNUMBER(H22),$B22*H22,"")</f>
        <v/>
      </c>
      <c r="R22" s="33">
        <f>IF(ISNUMBER(I22),$B22*I22,"")</f>
        <v/>
      </c>
      <c r="T22" s="33">
        <f>IF(ISNUMBER(C22),$B22,"")</f>
        <v/>
      </c>
      <c r="U22" s="33">
        <f>IF(ISNUMBER(D22),$B22,"")</f>
        <v/>
      </c>
      <c r="V22" s="33">
        <f>IF(ISNUMBER(E22),$B22,"")</f>
        <v/>
      </c>
      <c r="W22" s="33">
        <f>IF(ISNUMBER(F22),$B22,"")</f>
        <v/>
      </c>
      <c r="X22" s="33">
        <f>IF(ISNUMBER(G22),$B22,"")</f>
        <v/>
      </c>
      <c r="Y22" s="33">
        <f>IF(ISNUMBER(H22),$B22,"")</f>
        <v/>
      </c>
      <c r="Z22" s="33">
        <f>IF(ISNUMBER(I22),$B22,"")</f>
        <v/>
      </c>
    </row>
    <row r="23">
      <c r="A23" s="27" t="inlineStr">
        <is>
          <t>Data Pointers</t>
        </is>
      </c>
      <c r="B23" s="30" t="n">
        <v>10</v>
      </c>
      <c r="C23" s="31">
        <f>IFERROR(AVERAGEIFS(C$38:C$87,$B$38:$B$87,$A23),"")</f>
        <v/>
      </c>
      <c r="D23" s="32">
        <f>IFERROR(AVERAGEIFS(D$38:D$87,$B$38:$B$87,$A23),"")</f>
        <v/>
      </c>
      <c r="E23" s="32">
        <f>IFERROR(AVERAGEIFS(E$38:E$87,$B$38:$B$87,$A23),"")</f>
        <v/>
      </c>
      <c r="F23" s="32">
        <f>IFERROR(AVERAGEIFS(F$38:F$87,$B$38:$B$87,$A23),"")</f>
        <v/>
      </c>
      <c r="G23" s="32">
        <f>IFERROR(AVERAGEIFS(G$38:G$87,$B$38:$B$87,$A23),"")</f>
        <v/>
      </c>
      <c r="H23" s="32">
        <f>IFERROR(AVERAGEIFS(H$38:H$87,$B$38:$B$87,$A23),"")</f>
        <v/>
      </c>
      <c r="I23" s="32">
        <f>IFERROR(AVERAGEIFS(I$38:I$87,$B$38:$B$87,$A23),"")</f>
        <v/>
      </c>
      <c r="L23" s="33">
        <f>IF(ISNUMBER(C23),$B23*C23,"")</f>
        <v/>
      </c>
      <c r="M23" s="33">
        <f>IF(ISNUMBER(D23),$B23*D23,"")</f>
        <v/>
      </c>
      <c r="N23" s="33">
        <f>IF(ISNUMBER(E23),$B23*E23,"")</f>
        <v/>
      </c>
      <c r="O23" s="33">
        <f>IF(ISNUMBER(F23),$B23*F23,"")</f>
        <v/>
      </c>
      <c r="P23" s="33">
        <f>IF(ISNUMBER(G23),$B23*G23,"")</f>
        <v/>
      </c>
      <c r="Q23" s="33">
        <f>IF(ISNUMBER(H23),$B23*H23,"")</f>
        <v/>
      </c>
      <c r="R23" s="33">
        <f>IF(ISNUMBER(I23),$B23*I23,"")</f>
        <v/>
      </c>
      <c r="T23" s="33">
        <f>IF(ISNUMBER(C23),$B23,"")</f>
        <v/>
      </c>
      <c r="U23" s="33">
        <f>IF(ISNUMBER(D23),$B23,"")</f>
        <v/>
      </c>
      <c r="V23" s="33">
        <f>IF(ISNUMBER(E23),$B23,"")</f>
        <v/>
      </c>
      <c r="W23" s="33">
        <f>IF(ISNUMBER(F23),$B23,"")</f>
        <v/>
      </c>
      <c r="X23" s="33">
        <f>IF(ISNUMBER(G23),$B23,"")</f>
        <v/>
      </c>
      <c r="Y23" s="33">
        <f>IF(ISNUMBER(H23),$B23,"")</f>
        <v/>
      </c>
      <c r="Z23" s="33">
        <f>IF(ISNUMBER(I23),$B23,"")</f>
        <v/>
      </c>
    </row>
    <row r="24">
      <c r="A24" s="27" t="inlineStr">
        <is>
          <t>External SDKs</t>
        </is>
      </c>
      <c r="B24" s="30" t="n">
        <v>4</v>
      </c>
      <c r="C24" s="31">
        <f>IFERROR(AVERAGEIFS(C$38:C$87,$B$38:$B$87,$A24),"")</f>
        <v/>
      </c>
      <c r="D24" s="32">
        <f>IFERROR(AVERAGEIFS(D$38:D$87,$B$38:$B$87,$A24),"")</f>
        <v/>
      </c>
      <c r="E24" s="32">
        <f>IFERROR(AVERAGEIFS(E$38:E$87,$B$38:$B$87,$A24),"")</f>
        <v/>
      </c>
      <c r="F24" s="32">
        <f>IFERROR(AVERAGEIFS(F$38:F$87,$B$38:$B$87,$A24),"")</f>
        <v/>
      </c>
      <c r="G24" s="32">
        <f>IFERROR(AVERAGEIFS(G$38:G$87,$B$38:$B$87,$A24),"")</f>
        <v/>
      </c>
      <c r="H24" s="32">
        <f>IFERROR(AVERAGEIFS(H$38:H$87,$B$38:$B$87,$A24),"")</f>
        <v/>
      </c>
      <c r="I24" s="32">
        <f>IFERROR(AVERAGEIFS(I$38:I$87,$B$38:$B$87,$A24),"")</f>
        <v/>
      </c>
      <c r="L24" s="33">
        <f>IF(ISNUMBER(C24),$B24*C24,"")</f>
        <v/>
      </c>
      <c r="M24" s="33">
        <f>IF(ISNUMBER(D24),$B24*D24,"")</f>
        <v/>
      </c>
      <c r="N24" s="33">
        <f>IF(ISNUMBER(E24),$B24*E24,"")</f>
        <v/>
      </c>
      <c r="O24" s="33">
        <f>IF(ISNUMBER(F24),$B24*F24,"")</f>
        <v/>
      </c>
      <c r="P24" s="33">
        <f>IF(ISNUMBER(G24),$B24*G24,"")</f>
        <v/>
      </c>
      <c r="Q24" s="33">
        <f>IF(ISNUMBER(H24),$B24*H24,"")</f>
        <v/>
      </c>
      <c r="R24" s="33">
        <f>IF(ISNUMBER(I24),$B24*I24,"")</f>
        <v/>
      </c>
      <c r="T24" s="33">
        <f>IF(ISNUMBER(C24),$B24,"")</f>
        <v/>
      </c>
      <c r="U24" s="33">
        <f>IF(ISNUMBER(D24),$B24,"")</f>
        <v/>
      </c>
      <c r="V24" s="33">
        <f>IF(ISNUMBER(E24),$B24,"")</f>
        <v/>
      </c>
      <c r="W24" s="33">
        <f>IF(ISNUMBER(F24),$B24,"")</f>
        <v/>
      </c>
      <c r="X24" s="33">
        <f>IF(ISNUMBER(G24),$B24,"")</f>
        <v/>
      </c>
      <c r="Y24" s="33">
        <f>IF(ISNUMBER(H24),$B24,"")</f>
        <v/>
      </c>
      <c r="Z24" s="33">
        <f>IF(ISNUMBER(I24),$B24,"")</f>
        <v/>
      </c>
    </row>
    <row r="25">
      <c r="A25" s="27" t="inlineStr">
        <is>
          <t>RAM</t>
        </is>
      </c>
      <c r="B25" s="30" t="n">
        <v>7</v>
      </c>
      <c r="C25" s="31">
        <f>IFERROR(AVERAGEIFS(C$38:C$87,$B$38:$B$87,$A25),"")</f>
        <v/>
      </c>
      <c r="D25" s="32">
        <f>IFERROR(AVERAGEIFS(D$38:D$87,$B$38:$B$87,$A25),"")</f>
        <v/>
      </c>
      <c r="E25" s="32">
        <f>IFERROR(AVERAGEIFS(E$38:E$87,$B$38:$B$87,$A25),"")</f>
        <v/>
      </c>
      <c r="F25" s="32">
        <f>IFERROR(AVERAGEIFS(F$38:F$87,$B$38:$B$87,$A25),"")</f>
        <v/>
      </c>
      <c r="G25" s="32">
        <f>IFERROR(AVERAGEIFS(G$38:G$87,$B$38:$B$87,$A25),"")</f>
        <v/>
      </c>
      <c r="H25" s="32">
        <f>IFERROR(AVERAGEIFS(H$38:H$87,$B$38:$B$87,$A25),"")</f>
        <v/>
      </c>
      <c r="I25" s="32">
        <f>IFERROR(AVERAGEIFS(I$38:I$87,$B$38:$B$87,$A25),"")</f>
        <v/>
      </c>
      <c r="L25" s="33">
        <f>IF(ISNUMBER(C25),$B25*C25,"")</f>
        <v/>
      </c>
      <c r="M25" s="33">
        <f>IF(ISNUMBER(D25),$B25*D25,"")</f>
        <v/>
      </c>
      <c r="N25" s="33">
        <f>IF(ISNUMBER(E25),$B25*E25,"")</f>
        <v/>
      </c>
      <c r="O25" s="33">
        <f>IF(ISNUMBER(F25),$B25*F25,"")</f>
        <v/>
      </c>
      <c r="P25" s="33">
        <f>IF(ISNUMBER(G25),$B25*G25,"")</f>
        <v/>
      </c>
      <c r="Q25" s="33">
        <f>IF(ISNUMBER(H25),$B25*H25,"")</f>
        <v/>
      </c>
      <c r="R25" s="33">
        <f>IF(ISNUMBER(I25),$B25*I25,"")</f>
        <v/>
      </c>
      <c r="T25" s="33">
        <f>IF(ISNUMBER(C25),$B25,"")</f>
        <v/>
      </c>
      <c r="U25" s="33">
        <f>IF(ISNUMBER(D25),$B25,"")</f>
        <v/>
      </c>
      <c r="V25" s="33">
        <f>IF(ISNUMBER(E25),$B25,"")</f>
        <v/>
      </c>
      <c r="W25" s="33">
        <f>IF(ISNUMBER(F25),$B25,"")</f>
        <v/>
      </c>
      <c r="X25" s="33">
        <f>IF(ISNUMBER(G25),$B25,"")</f>
        <v/>
      </c>
      <c r="Y25" s="33">
        <f>IF(ISNUMBER(H25),$B25,"")</f>
        <v/>
      </c>
      <c r="Z25" s="33">
        <f>IF(ISNUMBER(I25),$B25,"")</f>
        <v/>
      </c>
    </row>
    <row r="26">
      <c r="A26" s="27" t="inlineStr">
        <is>
          <t>Storage</t>
        </is>
      </c>
      <c r="B26" s="30" t="n">
        <v>3</v>
      </c>
      <c r="C26" s="31">
        <f>IFERROR(AVERAGEIFS(C$38:C$87,$B$38:$B$87,$A26),"")</f>
        <v/>
      </c>
      <c r="D26" s="32">
        <f>IFERROR(AVERAGEIFS(D$38:D$87,$B$38:$B$87,$A26),"")</f>
        <v/>
      </c>
      <c r="E26" s="32">
        <f>IFERROR(AVERAGEIFS(E$38:E$87,$B$38:$B$87,$A26),"")</f>
        <v/>
      </c>
      <c r="F26" s="32">
        <f>IFERROR(AVERAGEIFS(F$38:F$87,$B$38:$B$87,$A26),"")</f>
        <v/>
      </c>
      <c r="G26" s="32">
        <f>IFERROR(AVERAGEIFS(G$38:G$87,$B$38:$B$87,$A26),"")</f>
        <v/>
      </c>
      <c r="H26" s="32">
        <f>IFERROR(AVERAGEIFS(H$38:H$87,$B$38:$B$87,$A26),"")</f>
        <v/>
      </c>
      <c r="I26" s="32">
        <f>IFERROR(AVERAGEIFS(I$38:I$87,$B$38:$B$87,$A26),"")</f>
        <v/>
      </c>
      <c r="L26" s="33">
        <f>IF(ISNUMBER(C26),$B26*C26,"")</f>
        <v/>
      </c>
      <c r="M26" s="33">
        <f>IF(ISNUMBER(D26),$B26*D26,"")</f>
        <v/>
      </c>
      <c r="N26" s="33">
        <f>IF(ISNUMBER(E26),$B26*E26,"")</f>
        <v/>
      </c>
      <c r="O26" s="33">
        <f>IF(ISNUMBER(F26),$B26*F26,"")</f>
        <v/>
      </c>
      <c r="P26" s="33">
        <f>IF(ISNUMBER(G26),$B26*G26,"")</f>
        <v/>
      </c>
      <c r="Q26" s="33">
        <f>IF(ISNUMBER(H26),$B26*H26,"")</f>
        <v/>
      </c>
      <c r="R26" s="33">
        <f>IF(ISNUMBER(I26),$B26*I26,"")</f>
        <v/>
      </c>
      <c r="T26" s="33">
        <f>IF(ISNUMBER(C26),$B26,"")</f>
        <v/>
      </c>
      <c r="U26" s="33">
        <f>IF(ISNUMBER(D26),$B26,"")</f>
        <v/>
      </c>
      <c r="V26" s="33">
        <f>IF(ISNUMBER(E26),$B26,"")</f>
        <v/>
      </c>
      <c r="W26" s="33">
        <f>IF(ISNUMBER(F26),$B26,"")</f>
        <v/>
      </c>
      <c r="X26" s="33">
        <f>IF(ISNUMBER(G26),$B26,"")</f>
        <v/>
      </c>
      <c r="Y26" s="33">
        <f>IF(ISNUMBER(H26),$B26,"")</f>
        <v/>
      </c>
      <c r="Z26" s="33">
        <f>IF(ISNUMBER(I26),$B26,"")</f>
        <v/>
      </c>
    </row>
    <row r="27">
      <c r="A27" s="27" t="inlineStr">
        <is>
          <t>CPU / Battery / Data</t>
        </is>
      </c>
      <c r="B27" s="30" t="n">
        <v>7</v>
      </c>
      <c r="C27" s="31">
        <f>IFERROR(AVERAGEIFS(C$38:C$87,$B$38:$B$87,$A27),"")</f>
        <v/>
      </c>
      <c r="D27" s="32">
        <f>IFERROR(AVERAGEIFS(D$38:D$87,$B$38:$B$87,$A27),"")</f>
        <v/>
      </c>
      <c r="E27" s="32">
        <f>IFERROR(AVERAGEIFS(E$38:E$87,$B$38:$B$87,$A27),"")</f>
        <v/>
      </c>
      <c r="F27" s="32">
        <f>IFERROR(AVERAGEIFS(F$38:F$87,$B$38:$B$87,$A27),"")</f>
        <v/>
      </c>
      <c r="G27" s="32">
        <f>IFERROR(AVERAGEIFS(G$38:G$87,$B$38:$B$87,$A27),"")</f>
        <v/>
      </c>
      <c r="H27" s="32">
        <f>IFERROR(AVERAGEIFS(H$38:H$87,$B$38:$B$87,$A27),"")</f>
        <v/>
      </c>
      <c r="I27" s="32">
        <f>IFERROR(AVERAGEIFS(I$38:I$87,$B$38:$B$87,$A27),"")</f>
        <v/>
      </c>
      <c r="L27" s="33">
        <f>IF(ISNUMBER(C27),$B27*C27,"")</f>
        <v/>
      </c>
      <c r="M27" s="33">
        <f>IF(ISNUMBER(D27),$B27*D27,"")</f>
        <v/>
      </c>
      <c r="N27" s="33">
        <f>IF(ISNUMBER(E27),$B27*E27,"")</f>
        <v/>
      </c>
      <c r="O27" s="33">
        <f>IF(ISNUMBER(F27),$B27*F27,"")</f>
        <v/>
      </c>
      <c r="P27" s="33">
        <f>IF(ISNUMBER(G27),$B27*G27,"")</f>
        <v/>
      </c>
      <c r="Q27" s="33">
        <f>IF(ISNUMBER(H27),$B27*H27,"")</f>
        <v/>
      </c>
      <c r="R27" s="33">
        <f>IF(ISNUMBER(I27),$B27*I27,"")</f>
        <v/>
      </c>
      <c r="T27" s="33">
        <f>IF(ISNUMBER(C27),$B27,"")</f>
        <v/>
      </c>
      <c r="U27" s="33">
        <f>IF(ISNUMBER(D27),$B27,"")</f>
        <v/>
      </c>
      <c r="V27" s="33">
        <f>IF(ISNUMBER(E27),$B27,"")</f>
        <v/>
      </c>
      <c r="W27" s="33">
        <f>IF(ISNUMBER(F27),$B27,"")</f>
        <v/>
      </c>
      <c r="X27" s="33">
        <f>IF(ISNUMBER(G27),$B27,"")</f>
        <v/>
      </c>
      <c r="Y27" s="33">
        <f>IF(ISNUMBER(H27),$B27,"")</f>
        <v/>
      </c>
      <c r="Z27" s="33">
        <f>IF(ISNUMBER(I27),$B27,"")</f>
        <v/>
      </c>
    </row>
    <row r="28">
      <c r="A28" s="27" t="inlineStr">
        <is>
          <t>Stability</t>
        </is>
      </c>
      <c r="B28" s="30" t="n">
        <v>4</v>
      </c>
      <c r="C28" s="31">
        <f>IFERROR(AVERAGEIFS(C$38:C$87,$B$38:$B$87,$A28),"")</f>
        <v/>
      </c>
      <c r="D28" s="32">
        <f>IFERROR(AVERAGEIFS(D$38:D$87,$B$38:$B$87,$A28),"")</f>
        <v/>
      </c>
      <c r="E28" s="32">
        <f>IFERROR(AVERAGEIFS(E$38:E$87,$B$38:$B$87,$A28),"")</f>
        <v/>
      </c>
      <c r="F28" s="32">
        <f>IFERROR(AVERAGEIFS(F$38:F$87,$B$38:$B$87,$A28),"")</f>
        <v/>
      </c>
      <c r="G28" s="32">
        <f>IFERROR(AVERAGEIFS(G$38:G$87,$B$38:$B$87,$A28),"")</f>
        <v/>
      </c>
      <c r="H28" s="32">
        <f>IFERROR(AVERAGEIFS(H$38:H$87,$B$38:$B$87,$A28),"")</f>
        <v/>
      </c>
      <c r="I28" s="32">
        <f>IFERROR(AVERAGEIFS(I$38:I$87,$B$38:$B$87,$A28),"")</f>
        <v/>
      </c>
      <c r="L28" s="33">
        <f>IF(ISNUMBER(C28),$B28*C28,"")</f>
        <v/>
      </c>
      <c r="M28" s="33">
        <f>IF(ISNUMBER(D28),$B28*D28,"")</f>
        <v/>
      </c>
      <c r="N28" s="33">
        <f>IF(ISNUMBER(E28),$B28*E28,"")</f>
        <v/>
      </c>
      <c r="O28" s="33">
        <f>IF(ISNUMBER(F28),$B28*F28,"")</f>
        <v/>
      </c>
      <c r="P28" s="33">
        <f>IF(ISNUMBER(G28),$B28*G28,"")</f>
        <v/>
      </c>
      <c r="Q28" s="33">
        <f>IF(ISNUMBER(H28),$B28*H28,"")</f>
        <v/>
      </c>
      <c r="R28" s="33">
        <f>IF(ISNUMBER(I28),$B28*I28,"")</f>
        <v/>
      </c>
      <c r="T28" s="33">
        <f>IF(ISNUMBER(C28),$B28,"")</f>
        <v/>
      </c>
      <c r="U28" s="33">
        <f>IF(ISNUMBER(D28),$B28,"")</f>
        <v/>
      </c>
      <c r="V28" s="33">
        <f>IF(ISNUMBER(E28),$B28,"")</f>
        <v/>
      </c>
      <c r="W28" s="33">
        <f>IF(ISNUMBER(F28),$B28,"")</f>
        <v/>
      </c>
      <c r="X28" s="33">
        <f>IF(ISNUMBER(G28),$B28,"")</f>
        <v/>
      </c>
      <c r="Y28" s="33">
        <f>IF(ISNUMBER(H28),$B28,"")</f>
        <v/>
      </c>
      <c r="Z28" s="33">
        <f>IF(ISNUMBER(I28),$B28,"")</f>
        <v/>
      </c>
    </row>
    <row r="29">
      <c r="A29" s="27" t="inlineStr">
        <is>
          <t>Total weight</t>
        </is>
      </c>
      <c r="B29" s="34">
        <f>SUM(B17:B28)</f>
        <v/>
      </c>
    </row>
    <row r="30">
      <c r="A30" s="27" t="inlineStr">
        <is>
          <t>Overall score</t>
        </is>
      </c>
      <c r="C30" s="60">
        <f>IF(SUM(T17:T28)=0,"",SUM(L17:L28)/SUM(T17:T28))</f>
        <v/>
      </c>
      <c r="D30" s="61">
        <f>IF(SUM(U17:U28)=0,"",SUM(M17:M28)/SUM(U17:U28))</f>
        <v/>
      </c>
      <c r="E30" s="61">
        <f>IF(SUM(V17:V28)=0,"",SUM(N17:N28)/SUM(V17:V28))</f>
        <v/>
      </c>
      <c r="F30" s="61">
        <f>IF(SUM(W17:W28)=0,"",SUM(O17:O28)/SUM(W17:W28))</f>
        <v/>
      </c>
      <c r="G30" s="61">
        <f>IF(SUM(X17:X28)=0,"",SUM(P17:P28)/SUM(X17:X28))</f>
        <v/>
      </c>
      <c r="H30" s="61">
        <f>IF(SUM(Y17:Y28)=0,"",SUM(Q17:Q28)/SUM(Y17:Y28))</f>
        <v/>
      </c>
      <c r="I30" s="61">
        <f>IF(SUM(Z17:Z28)=0,"",SUM(R17:R28)/SUM(Z17:Z28))</f>
        <v/>
      </c>
    </row>
    <row r="31">
      <c r="A31" s="27" t="inlineStr">
        <is>
          <t>Data coverage (share of weight measured)</t>
        </is>
      </c>
      <c r="C31" s="37">
        <f>IF($B$29=0,"",SUM(T17:T28)/$B$29)</f>
        <v/>
      </c>
      <c r="D31" s="22">
        <f>IF($B$29=0,"",SUM(U17:U28)/$B$29)</f>
        <v/>
      </c>
      <c r="E31" s="22">
        <f>IF($B$29=0,"",SUM(V17:V28)/$B$29)</f>
        <v/>
      </c>
      <c r="F31" s="22">
        <f>IF($B$29=0,"",SUM(W17:W28)/$B$29)</f>
        <v/>
      </c>
      <c r="G31" s="22">
        <f>IF($B$29=0,"",SUM(X17:X28)/$B$29)</f>
        <v/>
      </c>
      <c r="H31" s="22">
        <f>IF($B$29=0,"",SUM(Y17:Y28)/$B$29)</f>
        <v/>
      </c>
      <c r="I31" s="22">
        <f>IF($B$29=0,"",SUM(Z17:Z28)/$B$29)</f>
        <v/>
      </c>
    </row>
    <row r="32">
      <c r="A32" s="27" t="inlineStr">
        <is>
          <t>Rank</t>
        </is>
      </c>
      <c r="C32" s="38">
        <f>IF(ISNUMBER(C30),COUNTIF($C$30:$I$30,"&gt;"&amp;C30)+1,"")</f>
        <v/>
      </c>
      <c r="D32" s="39">
        <f>IF(ISNUMBER(D30),COUNTIF($C$30:$I$30,"&gt;"&amp;D30)+1,"")</f>
        <v/>
      </c>
      <c r="E32" s="39">
        <f>IF(ISNUMBER(E30),COUNTIF($C$30:$I$30,"&gt;"&amp;E30)+1,"")</f>
        <v/>
      </c>
      <c r="F32" s="39">
        <f>IF(ISNUMBER(F30),COUNTIF($C$30:$I$30,"&gt;"&amp;F30)+1,"")</f>
        <v/>
      </c>
      <c r="G32" s="39">
        <f>IF(ISNUMBER(G30),COUNTIF($C$30:$I$30,"&gt;"&amp;G30)+1,"")</f>
        <v/>
      </c>
      <c r="H32" s="39">
        <f>IF(ISNUMBER(H30),COUNTIF($C$30:$I$30,"&gt;"&amp;H30)+1,"")</f>
        <v/>
      </c>
      <c r="I32" s="39">
        <f>IF(ISNUMBER(I30),COUNTIF($C$30:$I$30,"&gt;"&amp;I30)+1,"")</f>
        <v/>
      </c>
    </row>
    <row r="33">
      <c r="A33" s="33" t="inlineStr">
        <is>
          <t>Helper: tie-break (don't edit)</t>
        </is>
      </c>
      <c r="C33" s="62">
        <f>IF(ISNUMBER(C30),C30+7/1000000,"")</f>
        <v/>
      </c>
      <c r="D33" s="62">
        <f>IF(ISNUMBER(D30),D30+6/1000000,"")</f>
        <v/>
      </c>
      <c r="E33" s="62">
        <f>IF(ISNUMBER(E30),E30+5/1000000,"")</f>
        <v/>
      </c>
      <c r="F33" s="62">
        <f>IF(ISNUMBER(F30),F30+4/1000000,"")</f>
        <v/>
      </c>
      <c r="G33" s="62">
        <f>IF(ISNUMBER(G30),G30+3/1000000,"")</f>
        <v/>
      </c>
      <c r="H33" s="62">
        <f>IF(ISNUMBER(H30),H30+2/1000000,"")</f>
        <v/>
      </c>
      <c r="I33" s="62">
        <f>IF(ISNUMBER(I30),I30+1/1000000,"")</f>
        <v/>
      </c>
    </row>
    <row r="36">
      <c r="A36" s="3" t="inlineStr">
        <is>
          <t>Metric scores (0–100, from the Summary tab)</t>
        </is>
      </c>
    </row>
    <row r="37" ht="32" customHeight="1">
      <c r="A37" s="10" t="inlineStr">
        <is>
          <t>ID</t>
        </is>
      </c>
      <c r="B37" s="10" t="inlineStr">
        <is>
          <t>Category</t>
        </is>
      </c>
      <c r="C37" s="10" t="inlineStr">
        <is>
          <t>Metric</t>
        </is>
      </c>
      <c r="D37" s="16" t="inlineStr">
        <is>
          <t>RISE</t>
        </is>
      </c>
      <c r="E37" s="10" t="inlineStr">
        <is>
          <t>Kite</t>
        </is>
      </c>
      <c r="F37" s="10" t="inlineStr">
        <is>
          <t>Groww</t>
        </is>
      </c>
      <c r="G37" s="10" t="inlineStr">
        <is>
          <t>Angel One</t>
        </is>
      </c>
      <c r="H37" s="10" t="inlineStr">
        <is>
          <t>INDmoney</t>
        </is>
      </c>
      <c r="I37" s="10" t="inlineStr">
        <is>
          <t>Kotak Neo</t>
        </is>
      </c>
      <c r="J37" s="10" t="inlineStr">
        <is>
          <t>SAHI</t>
        </is>
      </c>
    </row>
    <row r="38">
      <c r="A38" s="7">
        <f>Summary!A7</f>
        <v/>
      </c>
      <c r="B38" s="7">
        <f>Summary!B7</f>
        <v/>
      </c>
      <c r="C38" s="31">
        <f>IF(OR(Summary!F7="",Summary!$O7&lt;2),"",IF(MAX(Summary!$F7:$L7)=MIN(Summary!$F7:$L7),100,IF(Summary!$E7="Lower",(MAX(Summary!$F7:$L7)-Summary!F7)/(MAX(Summary!$F7:$L7)-MIN(Summary!$F7:$L7)),(Summary!F7-MIN(Summary!$F7:$L7))/(MAX(Summary!$F7:$L7)-MIN(Summary!$F7:$L7)))*100))</f>
        <v/>
      </c>
      <c r="D38" s="32">
        <f>IF(OR(Summary!G7="",Summary!$O7&lt;2),"",IF(MAX(Summary!$F7:$L7)=MIN(Summary!$F7:$L7),100,IF(Summary!$E7="Lower",(MAX(Summary!$F7:$L7)-Summary!G7)/(MAX(Summary!$F7:$L7)-MIN(Summary!$F7:$L7)),(Summary!G7-MIN(Summary!$F7:$L7))/(MAX(Summary!$F7:$L7)-MIN(Summary!$F7:$L7)))*100))</f>
        <v/>
      </c>
      <c r="E38" s="32">
        <f>IF(OR(Summary!H7="",Summary!$O7&lt;2),"",IF(MAX(Summary!$F7:$L7)=MIN(Summary!$F7:$L7),100,IF(Summary!$E7="Lower",(MAX(Summary!$F7:$L7)-Summary!H7)/(MAX(Summary!$F7:$L7)-MIN(Summary!$F7:$L7)),(Summary!H7-MIN(Summary!$F7:$L7))/(MAX(Summary!$F7:$L7)-MIN(Summary!$F7:$L7)))*100))</f>
        <v/>
      </c>
      <c r="F38" s="32">
        <f>IF(OR(Summary!I7="",Summary!$O7&lt;2),"",IF(MAX(Summary!$F7:$L7)=MIN(Summary!$F7:$L7),100,IF(Summary!$E7="Lower",(MAX(Summary!$F7:$L7)-Summary!I7)/(MAX(Summary!$F7:$L7)-MIN(Summary!$F7:$L7)),(Summary!I7-MIN(Summary!$F7:$L7))/(MAX(Summary!$F7:$L7)-MIN(Summary!$F7:$L7)))*100))</f>
        <v/>
      </c>
      <c r="G38" s="32">
        <f>IF(OR(Summary!J7="",Summary!$O7&lt;2),"",IF(MAX(Summary!$F7:$L7)=MIN(Summary!$F7:$L7),100,IF(Summary!$E7="Lower",(MAX(Summary!$F7:$L7)-Summary!J7)/(MAX(Summary!$F7:$L7)-MIN(Summary!$F7:$L7)),(Summary!J7-MIN(Summary!$F7:$L7))/(MAX(Summary!$F7:$L7)-MIN(Summary!$F7:$L7)))*100))</f>
        <v/>
      </c>
      <c r="H38" s="32">
        <f>IF(OR(Summary!K7="",Summary!$O7&lt;2),"",IF(MAX(Summary!$F7:$L7)=MIN(Summary!$F7:$L7),100,IF(Summary!$E7="Lower",(MAX(Summary!$F7:$L7)-Summary!K7)/(MAX(Summary!$F7:$L7)-MIN(Summary!$F7:$L7)),(Summary!K7-MIN(Summary!$F7:$L7))/(MAX(Summary!$F7:$L7)-MIN(Summary!$F7:$L7)))*100))</f>
        <v/>
      </c>
      <c r="I38" s="32">
        <f>IF(OR(Summary!L7="",Summary!$O7&lt;2),"",IF(MAX(Summary!$F7:$L7)=MIN(Summary!$F7:$L7),100,IF(Summary!$E7="Lower",(MAX(Summary!$F7:$L7)-Summary!L7)/(MAX(Summary!$F7:$L7)-MIN(Summary!$F7:$L7)),(Summary!L7-MIN(Summary!$F7:$L7))/(MAX(Summary!$F7:$L7)-MIN(Summary!$F7:$L7)))*100))</f>
        <v/>
      </c>
    </row>
    <row r="39">
      <c r="A39" s="7">
        <f>Summary!A8</f>
        <v/>
      </c>
      <c r="B39" s="7">
        <f>Summary!B8</f>
        <v/>
      </c>
      <c r="C39" s="31">
        <f>IF(OR(Summary!F8="",Summary!$O8&lt;2),"",IF(MAX(Summary!$F8:$L8)=MIN(Summary!$F8:$L8),100,IF(Summary!$E8="Lower",(MAX(Summary!$F8:$L8)-Summary!F8)/(MAX(Summary!$F8:$L8)-MIN(Summary!$F8:$L8)),(Summary!F8-MIN(Summary!$F8:$L8))/(MAX(Summary!$F8:$L8)-MIN(Summary!$F8:$L8)))*100))</f>
        <v/>
      </c>
      <c r="D39" s="32">
        <f>IF(OR(Summary!G8="",Summary!$O8&lt;2),"",IF(MAX(Summary!$F8:$L8)=MIN(Summary!$F8:$L8),100,IF(Summary!$E8="Lower",(MAX(Summary!$F8:$L8)-Summary!G8)/(MAX(Summary!$F8:$L8)-MIN(Summary!$F8:$L8)),(Summary!G8-MIN(Summary!$F8:$L8))/(MAX(Summary!$F8:$L8)-MIN(Summary!$F8:$L8)))*100))</f>
        <v/>
      </c>
      <c r="E39" s="32">
        <f>IF(OR(Summary!H8="",Summary!$O8&lt;2),"",IF(MAX(Summary!$F8:$L8)=MIN(Summary!$F8:$L8),100,IF(Summary!$E8="Lower",(MAX(Summary!$F8:$L8)-Summary!H8)/(MAX(Summary!$F8:$L8)-MIN(Summary!$F8:$L8)),(Summary!H8-MIN(Summary!$F8:$L8))/(MAX(Summary!$F8:$L8)-MIN(Summary!$F8:$L8)))*100))</f>
        <v/>
      </c>
      <c r="F39" s="32">
        <f>IF(OR(Summary!I8="",Summary!$O8&lt;2),"",IF(MAX(Summary!$F8:$L8)=MIN(Summary!$F8:$L8),100,IF(Summary!$E8="Lower",(MAX(Summary!$F8:$L8)-Summary!I8)/(MAX(Summary!$F8:$L8)-MIN(Summary!$F8:$L8)),(Summary!I8-MIN(Summary!$F8:$L8))/(MAX(Summary!$F8:$L8)-MIN(Summary!$F8:$L8)))*100))</f>
        <v/>
      </c>
      <c r="G39" s="32">
        <f>IF(OR(Summary!J8="",Summary!$O8&lt;2),"",IF(MAX(Summary!$F8:$L8)=MIN(Summary!$F8:$L8),100,IF(Summary!$E8="Lower",(MAX(Summary!$F8:$L8)-Summary!J8)/(MAX(Summary!$F8:$L8)-MIN(Summary!$F8:$L8)),(Summary!J8-MIN(Summary!$F8:$L8))/(MAX(Summary!$F8:$L8)-MIN(Summary!$F8:$L8)))*100))</f>
        <v/>
      </c>
      <c r="H39" s="32">
        <f>IF(OR(Summary!K8="",Summary!$O8&lt;2),"",IF(MAX(Summary!$F8:$L8)=MIN(Summary!$F8:$L8),100,IF(Summary!$E8="Lower",(MAX(Summary!$F8:$L8)-Summary!K8)/(MAX(Summary!$F8:$L8)-MIN(Summary!$F8:$L8)),(Summary!K8-MIN(Summary!$F8:$L8))/(MAX(Summary!$F8:$L8)-MIN(Summary!$F8:$L8)))*100))</f>
        <v/>
      </c>
      <c r="I39" s="32">
        <f>IF(OR(Summary!L8="",Summary!$O8&lt;2),"",IF(MAX(Summary!$F8:$L8)=MIN(Summary!$F8:$L8),100,IF(Summary!$E8="Lower",(MAX(Summary!$F8:$L8)-Summary!L8)/(MAX(Summary!$F8:$L8)-MIN(Summary!$F8:$L8)),(Summary!L8-MIN(Summary!$F8:$L8))/(MAX(Summary!$F8:$L8)-MIN(Summary!$F8:$L8)))*100))</f>
        <v/>
      </c>
    </row>
    <row r="40">
      <c r="A40" s="7">
        <f>Summary!A9</f>
        <v/>
      </c>
      <c r="B40" s="7">
        <f>Summary!B9</f>
        <v/>
      </c>
      <c r="C40" s="31">
        <f>IF(OR(Summary!F9="",Summary!$O9&lt;2),"",IF(MAX(Summary!$F9:$L9)=MIN(Summary!$F9:$L9),100,IF(Summary!$E9="Lower",(MAX(Summary!$F9:$L9)-Summary!F9)/(MAX(Summary!$F9:$L9)-MIN(Summary!$F9:$L9)),(Summary!F9-MIN(Summary!$F9:$L9))/(MAX(Summary!$F9:$L9)-MIN(Summary!$F9:$L9)))*100))</f>
        <v/>
      </c>
      <c r="D40" s="32">
        <f>IF(OR(Summary!G9="",Summary!$O9&lt;2),"",IF(MAX(Summary!$F9:$L9)=MIN(Summary!$F9:$L9),100,IF(Summary!$E9="Lower",(MAX(Summary!$F9:$L9)-Summary!G9)/(MAX(Summary!$F9:$L9)-MIN(Summary!$F9:$L9)),(Summary!G9-MIN(Summary!$F9:$L9))/(MAX(Summary!$F9:$L9)-MIN(Summary!$F9:$L9)))*100))</f>
        <v/>
      </c>
      <c r="E40" s="32">
        <f>IF(OR(Summary!H9="",Summary!$O9&lt;2),"",IF(MAX(Summary!$F9:$L9)=MIN(Summary!$F9:$L9),100,IF(Summary!$E9="Lower",(MAX(Summary!$F9:$L9)-Summary!H9)/(MAX(Summary!$F9:$L9)-MIN(Summary!$F9:$L9)),(Summary!H9-MIN(Summary!$F9:$L9))/(MAX(Summary!$F9:$L9)-MIN(Summary!$F9:$L9)))*100))</f>
        <v/>
      </c>
      <c r="F40" s="32">
        <f>IF(OR(Summary!I9="",Summary!$O9&lt;2),"",IF(MAX(Summary!$F9:$L9)=MIN(Summary!$F9:$L9),100,IF(Summary!$E9="Lower",(MAX(Summary!$F9:$L9)-Summary!I9)/(MAX(Summary!$F9:$L9)-MIN(Summary!$F9:$L9)),(Summary!I9-MIN(Summary!$F9:$L9))/(MAX(Summary!$F9:$L9)-MIN(Summary!$F9:$L9)))*100))</f>
        <v/>
      </c>
      <c r="G40" s="32">
        <f>IF(OR(Summary!J9="",Summary!$O9&lt;2),"",IF(MAX(Summary!$F9:$L9)=MIN(Summary!$F9:$L9),100,IF(Summary!$E9="Lower",(MAX(Summary!$F9:$L9)-Summary!J9)/(MAX(Summary!$F9:$L9)-MIN(Summary!$F9:$L9)),(Summary!J9-MIN(Summary!$F9:$L9))/(MAX(Summary!$F9:$L9)-MIN(Summary!$F9:$L9)))*100))</f>
        <v/>
      </c>
      <c r="H40" s="32">
        <f>IF(OR(Summary!K9="",Summary!$O9&lt;2),"",IF(MAX(Summary!$F9:$L9)=MIN(Summary!$F9:$L9),100,IF(Summary!$E9="Lower",(MAX(Summary!$F9:$L9)-Summary!K9)/(MAX(Summary!$F9:$L9)-MIN(Summary!$F9:$L9)),(Summary!K9-MIN(Summary!$F9:$L9))/(MAX(Summary!$F9:$L9)-MIN(Summary!$F9:$L9)))*100))</f>
        <v/>
      </c>
      <c r="I40" s="32">
        <f>IF(OR(Summary!L9="",Summary!$O9&lt;2),"",IF(MAX(Summary!$F9:$L9)=MIN(Summary!$F9:$L9),100,IF(Summary!$E9="Lower",(MAX(Summary!$F9:$L9)-Summary!L9)/(MAX(Summary!$F9:$L9)-MIN(Summary!$F9:$L9)),(Summary!L9-MIN(Summary!$F9:$L9))/(MAX(Summary!$F9:$L9)-MIN(Summary!$F9:$L9)))*100))</f>
        <v/>
      </c>
    </row>
    <row r="41">
      <c r="A41" s="7">
        <f>Summary!A10</f>
        <v/>
      </c>
      <c r="B41" s="7">
        <f>Summary!B10</f>
        <v/>
      </c>
      <c r="C41" s="31">
        <f>IF(OR(Summary!F10="",Summary!$O10&lt;2),"",IF(MAX(Summary!$F10:$L10)=MIN(Summary!$F10:$L10),100,IF(Summary!$E10="Lower",(MAX(Summary!$F10:$L10)-Summary!F10)/(MAX(Summary!$F10:$L10)-MIN(Summary!$F10:$L10)),(Summary!F10-MIN(Summary!$F10:$L10))/(MAX(Summary!$F10:$L10)-MIN(Summary!$F10:$L10)))*100))</f>
        <v/>
      </c>
      <c r="D41" s="32">
        <f>IF(OR(Summary!G10="",Summary!$O10&lt;2),"",IF(MAX(Summary!$F10:$L10)=MIN(Summary!$F10:$L10),100,IF(Summary!$E10="Lower",(MAX(Summary!$F10:$L10)-Summary!G10)/(MAX(Summary!$F10:$L10)-MIN(Summary!$F10:$L10)),(Summary!G10-MIN(Summary!$F10:$L10))/(MAX(Summary!$F10:$L10)-MIN(Summary!$F10:$L10)))*100))</f>
        <v/>
      </c>
      <c r="E41" s="32">
        <f>IF(OR(Summary!H10="",Summary!$O10&lt;2),"",IF(MAX(Summary!$F10:$L10)=MIN(Summary!$F10:$L10),100,IF(Summary!$E10="Lower",(MAX(Summary!$F10:$L10)-Summary!H10)/(MAX(Summary!$F10:$L10)-MIN(Summary!$F10:$L10)),(Summary!H10-MIN(Summary!$F10:$L10))/(MAX(Summary!$F10:$L10)-MIN(Summary!$F10:$L10)))*100))</f>
        <v/>
      </c>
      <c r="F41" s="32">
        <f>IF(OR(Summary!I10="",Summary!$O10&lt;2),"",IF(MAX(Summary!$F10:$L10)=MIN(Summary!$F10:$L10),100,IF(Summary!$E10="Lower",(MAX(Summary!$F10:$L10)-Summary!I10)/(MAX(Summary!$F10:$L10)-MIN(Summary!$F10:$L10)),(Summary!I10-MIN(Summary!$F10:$L10))/(MAX(Summary!$F10:$L10)-MIN(Summary!$F10:$L10)))*100))</f>
        <v/>
      </c>
      <c r="G41" s="32">
        <f>IF(OR(Summary!J10="",Summary!$O10&lt;2),"",IF(MAX(Summary!$F10:$L10)=MIN(Summary!$F10:$L10),100,IF(Summary!$E10="Lower",(MAX(Summary!$F10:$L10)-Summary!J10)/(MAX(Summary!$F10:$L10)-MIN(Summary!$F10:$L10)),(Summary!J10-MIN(Summary!$F10:$L10))/(MAX(Summary!$F10:$L10)-MIN(Summary!$F10:$L10)))*100))</f>
        <v/>
      </c>
      <c r="H41" s="32">
        <f>IF(OR(Summary!K10="",Summary!$O10&lt;2),"",IF(MAX(Summary!$F10:$L10)=MIN(Summary!$F10:$L10),100,IF(Summary!$E10="Lower",(MAX(Summary!$F10:$L10)-Summary!K10)/(MAX(Summary!$F10:$L10)-MIN(Summary!$F10:$L10)),(Summary!K10-MIN(Summary!$F10:$L10))/(MAX(Summary!$F10:$L10)-MIN(Summary!$F10:$L10)))*100))</f>
        <v/>
      </c>
      <c r="I41" s="32">
        <f>IF(OR(Summary!L10="",Summary!$O10&lt;2),"",IF(MAX(Summary!$F10:$L10)=MIN(Summary!$F10:$L10),100,IF(Summary!$E10="Lower",(MAX(Summary!$F10:$L10)-Summary!L10)/(MAX(Summary!$F10:$L10)-MIN(Summary!$F10:$L10)),(Summary!L10-MIN(Summary!$F10:$L10))/(MAX(Summary!$F10:$L10)-MIN(Summary!$F10:$L10)))*100))</f>
        <v/>
      </c>
    </row>
    <row r="42">
      <c r="A42" s="7">
        <f>Summary!A11</f>
        <v/>
      </c>
      <c r="B42" s="7">
        <f>Summary!B11</f>
        <v/>
      </c>
      <c r="C42" s="31">
        <f>IF(OR(Summary!F11="",Summary!$O11&lt;2),"",IF(MAX(Summary!$F11:$L11)=MIN(Summary!$F11:$L11),100,IF(Summary!$E11="Lower",(MAX(Summary!$F11:$L11)-Summary!F11)/(MAX(Summary!$F11:$L11)-MIN(Summary!$F11:$L11)),(Summary!F11-MIN(Summary!$F11:$L11))/(MAX(Summary!$F11:$L11)-MIN(Summary!$F11:$L11)))*100))</f>
        <v/>
      </c>
      <c r="D42" s="32">
        <f>IF(OR(Summary!G11="",Summary!$O11&lt;2),"",IF(MAX(Summary!$F11:$L11)=MIN(Summary!$F11:$L11),100,IF(Summary!$E11="Lower",(MAX(Summary!$F11:$L11)-Summary!G11)/(MAX(Summary!$F11:$L11)-MIN(Summary!$F11:$L11)),(Summary!G11-MIN(Summary!$F11:$L11))/(MAX(Summary!$F11:$L11)-MIN(Summary!$F11:$L11)))*100))</f>
        <v/>
      </c>
      <c r="E42" s="32">
        <f>IF(OR(Summary!H11="",Summary!$O11&lt;2),"",IF(MAX(Summary!$F11:$L11)=MIN(Summary!$F11:$L11),100,IF(Summary!$E11="Lower",(MAX(Summary!$F11:$L11)-Summary!H11)/(MAX(Summary!$F11:$L11)-MIN(Summary!$F11:$L11)),(Summary!H11-MIN(Summary!$F11:$L11))/(MAX(Summary!$F11:$L11)-MIN(Summary!$F11:$L11)))*100))</f>
        <v/>
      </c>
      <c r="F42" s="32">
        <f>IF(OR(Summary!I11="",Summary!$O11&lt;2),"",IF(MAX(Summary!$F11:$L11)=MIN(Summary!$F11:$L11),100,IF(Summary!$E11="Lower",(MAX(Summary!$F11:$L11)-Summary!I11)/(MAX(Summary!$F11:$L11)-MIN(Summary!$F11:$L11)),(Summary!I11-MIN(Summary!$F11:$L11))/(MAX(Summary!$F11:$L11)-MIN(Summary!$F11:$L11)))*100))</f>
        <v/>
      </c>
      <c r="G42" s="32">
        <f>IF(OR(Summary!J11="",Summary!$O11&lt;2),"",IF(MAX(Summary!$F11:$L11)=MIN(Summary!$F11:$L11),100,IF(Summary!$E11="Lower",(MAX(Summary!$F11:$L11)-Summary!J11)/(MAX(Summary!$F11:$L11)-MIN(Summary!$F11:$L11)),(Summary!J11-MIN(Summary!$F11:$L11))/(MAX(Summary!$F11:$L11)-MIN(Summary!$F11:$L11)))*100))</f>
        <v/>
      </c>
      <c r="H42" s="32">
        <f>IF(OR(Summary!K11="",Summary!$O11&lt;2),"",IF(MAX(Summary!$F11:$L11)=MIN(Summary!$F11:$L11),100,IF(Summary!$E11="Lower",(MAX(Summary!$F11:$L11)-Summary!K11)/(MAX(Summary!$F11:$L11)-MIN(Summary!$F11:$L11)),(Summary!K11-MIN(Summary!$F11:$L11))/(MAX(Summary!$F11:$L11)-MIN(Summary!$F11:$L11)))*100))</f>
        <v/>
      </c>
      <c r="I42" s="32">
        <f>IF(OR(Summary!L11="",Summary!$O11&lt;2),"",IF(MAX(Summary!$F11:$L11)=MIN(Summary!$F11:$L11),100,IF(Summary!$E11="Lower",(MAX(Summary!$F11:$L11)-Summary!L11)/(MAX(Summary!$F11:$L11)-MIN(Summary!$F11:$L11)),(Summary!L11-MIN(Summary!$F11:$L11))/(MAX(Summary!$F11:$L11)-MIN(Summary!$F11:$L11)))*100))</f>
        <v/>
      </c>
    </row>
    <row r="43">
      <c r="A43" s="7">
        <f>Summary!A12</f>
        <v/>
      </c>
      <c r="B43" s="7">
        <f>Summary!B12</f>
        <v/>
      </c>
      <c r="C43" s="31">
        <f>IF(OR(Summary!F12="",Summary!$O12&lt;2),"",IF(MAX(Summary!$F12:$L12)=MIN(Summary!$F12:$L12),100,IF(Summary!$E12="Lower",(MAX(Summary!$F12:$L12)-Summary!F12)/(MAX(Summary!$F12:$L12)-MIN(Summary!$F12:$L12)),(Summary!F12-MIN(Summary!$F12:$L12))/(MAX(Summary!$F12:$L12)-MIN(Summary!$F12:$L12)))*100))</f>
        <v/>
      </c>
      <c r="D43" s="32">
        <f>IF(OR(Summary!G12="",Summary!$O12&lt;2),"",IF(MAX(Summary!$F12:$L12)=MIN(Summary!$F12:$L12),100,IF(Summary!$E12="Lower",(MAX(Summary!$F12:$L12)-Summary!G12)/(MAX(Summary!$F12:$L12)-MIN(Summary!$F12:$L12)),(Summary!G12-MIN(Summary!$F12:$L12))/(MAX(Summary!$F12:$L12)-MIN(Summary!$F12:$L12)))*100))</f>
        <v/>
      </c>
      <c r="E43" s="32">
        <f>IF(OR(Summary!H12="",Summary!$O12&lt;2),"",IF(MAX(Summary!$F12:$L12)=MIN(Summary!$F12:$L12),100,IF(Summary!$E12="Lower",(MAX(Summary!$F12:$L12)-Summary!H12)/(MAX(Summary!$F12:$L12)-MIN(Summary!$F12:$L12)),(Summary!H12-MIN(Summary!$F12:$L12))/(MAX(Summary!$F12:$L12)-MIN(Summary!$F12:$L12)))*100))</f>
        <v/>
      </c>
      <c r="F43" s="32">
        <f>IF(OR(Summary!I12="",Summary!$O12&lt;2),"",IF(MAX(Summary!$F12:$L12)=MIN(Summary!$F12:$L12),100,IF(Summary!$E12="Lower",(MAX(Summary!$F12:$L12)-Summary!I12)/(MAX(Summary!$F12:$L12)-MIN(Summary!$F12:$L12)),(Summary!I12-MIN(Summary!$F12:$L12))/(MAX(Summary!$F12:$L12)-MIN(Summary!$F12:$L12)))*100))</f>
        <v/>
      </c>
      <c r="G43" s="32">
        <f>IF(OR(Summary!J12="",Summary!$O12&lt;2),"",IF(MAX(Summary!$F12:$L12)=MIN(Summary!$F12:$L12),100,IF(Summary!$E12="Lower",(MAX(Summary!$F12:$L12)-Summary!J12)/(MAX(Summary!$F12:$L12)-MIN(Summary!$F12:$L12)),(Summary!J12-MIN(Summary!$F12:$L12))/(MAX(Summary!$F12:$L12)-MIN(Summary!$F12:$L12)))*100))</f>
        <v/>
      </c>
      <c r="H43" s="32">
        <f>IF(OR(Summary!K12="",Summary!$O12&lt;2),"",IF(MAX(Summary!$F12:$L12)=MIN(Summary!$F12:$L12),100,IF(Summary!$E12="Lower",(MAX(Summary!$F12:$L12)-Summary!K12)/(MAX(Summary!$F12:$L12)-MIN(Summary!$F12:$L12)),(Summary!K12-MIN(Summary!$F12:$L12))/(MAX(Summary!$F12:$L12)-MIN(Summary!$F12:$L12)))*100))</f>
        <v/>
      </c>
      <c r="I43" s="32">
        <f>IF(OR(Summary!L12="",Summary!$O12&lt;2),"",IF(MAX(Summary!$F12:$L12)=MIN(Summary!$F12:$L12),100,IF(Summary!$E12="Lower",(MAX(Summary!$F12:$L12)-Summary!L12)/(MAX(Summary!$F12:$L12)-MIN(Summary!$F12:$L12)),(Summary!L12-MIN(Summary!$F12:$L12))/(MAX(Summary!$F12:$L12)-MIN(Summary!$F12:$L12)))*100))</f>
        <v/>
      </c>
    </row>
    <row r="44">
      <c r="A44" s="7">
        <f>Summary!A13</f>
        <v/>
      </c>
      <c r="B44" s="7">
        <f>Summary!B13</f>
        <v/>
      </c>
      <c r="C44" s="31">
        <f>IF(OR(Summary!F13="",Summary!$O13&lt;2),"",IF(MAX(Summary!$F13:$L13)=MIN(Summary!$F13:$L13),100,IF(Summary!$E13="Lower",(MAX(Summary!$F13:$L13)-Summary!F13)/(MAX(Summary!$F13:$L13)-MIN(Summary!$F13:$L13)),(Summary!F13-MIN(Summary!$F13:$L13))/(MAX(Summary!$F13:$L13)-MIN(Summary!$F13:$L13)))*100))</f>
        <v/>
      </c>
      <c r="D44" s="32">
        <f>IF(OR(Summary!G13="",Summary!$O13&lt;2),"",IF(MAX(Summary!$F13:$L13)=MIN(Summary!$F13:$L13),100,IF(Summary!$E13="Lower",(MAX(Summary!$F13:$L13)-Summary!G13)/(MAX(Summary!$F13:$L13)-MIN(Summary!$F13:$L13)),(Summary!G13-MIN(Summary!$F13:$L13))/(MAX(Summary!$F13:$L13)-MIN(Summary!$F13:$L13)))*100))</f>
        <v/>
      </c>
      <c r="E44" s="32">
        <f>IF(OR(Summary!H13="",Summary!$O13&lt;2),"",IF(MAX(Summary!$F13:$L13)=MIN(Summary!$F13:$L13),100,IF(Summary!$E13="Lower",(MAX(Summary!$F13:$L13)-Summary!H13)/(MAX(Summary!$F13:$L13)-MIN(Summary!$F13:$L13)),(Summary!H13-MIN(Summary!$F13:$L13))/(MAX(Summary!$F13:$L13)-MIN(Summary!$F13:$L13)))*100))</f>
        <v/>
      </c>
      <c r="F44" s="32">
        <f>IF(OR(Summary!I13="",Summary!$O13&lt;2),"",IF(MAX(Summary!$F13:$L13)=MIN(Summary!$F13:$L13),100,IF(Summary!$E13="Lower",(MAX(Summary!$F13:$L13)-Summary!I13)/(MAX(Summary!$F13:$L13)-MIN(Summary!$F13:$L13)),(Summary!I13-MIN(Summary!$F13:$L13))/(MAX(Summary!$F13:$L13)-MIN(Summary!$F13:$L13)))*100))</f>
        <v/>
      </c>
      <c r="G44" s="32">
        <f>IF(OR(Summary!J13="",Summary!$O13&lt;2),"",IF(MAX(Summary!$F13:$L13)=MIN(Summary!$F13:$L13),100,IF(Summary!$E13="Lower",(MAX(Summary!$F13:$L13)-Summary!J13)/(MAX(Summary!$F13:$L13)-MIN(Summary!$F13:$L13)),(Summary!J13-MIN(Summary!$F13:$L13))/(MAX(Summary!$F13:$L13)-MIN(Summary!$F13:$L13)))*100))</f>
        <v/>
      </c>
      <c r="H44" s="32">
        <f>IF(OR(Summary!K13="",Summary!$O13&lt;2),"",IF(MAX(Summary!$F13:$L13)=MIN(Summary!$F13:$L13),100,IF(Summary!$E13="Lower",(MAX(Summary!$F13:$L13)-Summary!K13)/(MAX(Summary!$F13:$L13)-MIN(Summary!$F13:$L13)),(Summary!K13-MIN(Summary!$F13:$L13))/(MAX(Summary!$F13:$L13)-MIN(Summary!$F13:$L13)))*100))</f>
        <v/>
      </c>
      <c r="I44" s="32">
        <f>IF(OR(Summary!L13="",Summary!$O13&lt;2),"",IF(MAX(Summary!$F13:$L13)=MIN(Summary!$F13:$L13),100,IF(Summary!$E13="Lower",(MAX(Summary!$F13:$L13)-Summary!L13)/(MAX(Summary!$F13:$L13)-MIN(Summary!$F13:$L13)),(Summary!L13-MIN(Summary!$F13:$L13))/(MAX(Summary!$F13:$L13)-MIN(Summary!$F13:$L13)))*100))</f>
        <v/>
      </c>
    </row>
    <row r="45">
      <c r="A45" s="7">
        <f>Summary!A14</f>
        <v/>
      </c>
      <c r="B45" s="7">
        <f>Summary!B14</f>
        <v/>
      </c>
      <c r="C45" s="31">
        <f>IF(OR(Summary!F14="",Summary!$O14&lt;2),"",IF(MAX(Summary!$F14:$L14)=MIN(Summary!$F14:$L14),100,IF(Summary!$E14="Lower",(MAX(Summary!$F14:$L14)-Summary!F14)/(MAX(Summary!$F14:$L14)-MIN(Summary!$F14:$L14)),(Summary!F14-MIN(Summary!$F14:$L14))/(MAX(Summary!$F14:$L14)-MIN(Summary!$F14:$L14)))*100))</f>
        <v/>
      </c>
      <c r="D45" s="32">
        <f>IF(OR(Summary!G14="",Summary!$O14&lt;2),"",IF(MAX(Summary!$F14:$L14)=MIN(Summary!$F14:$L14),100,IF(Summary!$E14="Lower",(MAX(Summary!$F14:$L14)-Summary!G14)/(MAX(Summary!$F14:$L14)-MIN(Summary!$F14:$L14)),(Summary!G14-MIN(Summary!$F14:$L14))/(MAX(Summary!$F14:$L14)-MIN(Summary!$F14:$L14)))*100))</f>
        <v/>
      </c>
      <c r="E45" s="32">
        <f>IF(OR(Summary!H14="",Summary!$O14&lt;2),"",IF(MAX(Summary!$F14:$L14)=MIN(Summary!$F14:$L14),100,IF(Summary!$E14="Lower",(MAX(Summary!$F14:$L14)-Summary!H14)/(MAX(Summary!$F14:$L14)-MIN(Summary!$F14:$L14)),(Summary!H14-MIN(Summary!$F14:$L14))/(MAX(Summary!$F14:$L14)-MIN(Summary!$F14:$L14)))*100))</f>
        <v/>
      </c>
      <c r="F45" s="32">
        <f>IF(OR(Summary!I14="",Summary!$O14&lt;2),"",IF(MAX(Summary!$F14:$L14)=MIN(Summary!$F14:$L14),100,IF(Summary!$E14="Lower",(MAX(Summary!$F14:$L14)-Summary!I14)/(MAX(Summary!$F14:$L14)-MIN(Summary!$F14:$L14)),(Summary!I14-MIN(Summary!$F14:$L14))/(MAX(Summary!$F14:$L14)-MIN(Summary!$F14:$L14)))*100))</f>
        <v/>
      </c>
      <c r="G45" s="32">
        <f>IF(OR(Summary!J14="",Summary!$O14&lt;2),"",IF(MAX(Summary!$F14:$L14)=MIN(Summary!$F14:$L14),100,IF(Summary!$E14="Lower",(MAX(Summary!$F14:$L14)-Summary!J14)/(MAX(Summary!$F14:$L14)-MIN(Summary!$F14:$L14)),(Summary!J14-MIN(Summary!$F14:$L14))/(MAX(Summary!$F14:$L14)-MIN(Summary!$F14:$L14)))*100))</f>
        <v/>
      </c>
      <c r="H45" s="32">
        <f>IF(OR(Summary!K14="",Summary!$O14&lt;2),"",IF(MAX(Summary!$F14:$L14)=MIN(Summary!$F14:$L14),100,IF(Summary!$E14="Lower",(MAX(Summary!$F14:$L14)-Summary!K14)/(MAX(Summary!$F14:$L14)-MIN(Summary!$F14:$L14)),(Summary!K14-MIN(Summary!$F14:$L14))/(MAX(Summary!$F14:$L14)-MIN(Summary!$F14:$L14)))*100))</f>
        <v/>
      </c>
      <c r="I45" s="32">
        <f>IF(OR(Summary!L14="",Summary!$O14&lt;2),"",IF(MAX(Summary!$F14:$L14)=MIN(Summary!$F14:$L14),100,IF(Summary!$E14="Lower",(MAX(Summary!$F14:$L14)-Summary!L14)/(MAX(Summary!$F14:$L14)-MIN(Summary!$F14:$L14)),(Summary!L14-MIN(Summary!$F14:$L14))/(MAX(Summary!$F14:$L14)-MIN(Summary!$F14:$L14)))*100))</f>
        <v/>
      </c>
    </row>
    <row r="46">
      <c r="A46" s="7">
        <f>Summary!A15</f>
        <v/>
      </c>
      <c r="B46" s="7">
        <f>Summary!B15</f>
        <v/>
      </c>
      <c r="C46" s="31">
        <f>IF(OR(Summary!F15="",Summary!$O15&lt;2),"",IF(MAX(Summary!$F15:$L15)=MIN(Summary!$F15:$L15),100,IF(Summary!$E15="Lower",(MAX(Summary!$F15:$L15)-Summary!F15)/(MAX(Summary!$F15:$L15)-MIN(Summary!$F15:$L15)),(Summary!F15-MIN(Summary!$F15:$L15))/(MAX(Summary!$F15:$L15)-MIN(Summary!$F15:$L15)))*100))</f>
        <v/>
      </c>
      <c r="D46" s="32">
        <f>IF(OR(Summary!G15="",Summary!$O15&lt;2),"",IF(MAX(Summary!$F15:$L15)=MIN(Summary!$F15:$L15),100,IF(Summary!$E15="Lower",(MAX(Summary!$F15:$L15)-Summary!G15)/(MAX(Summary!$F15:$L15)-MIN(Summary!$F15:$L15)),(Summary!G15-MIN(Summary!$F15:$L15))/(MAX(Summary!$F15:$L15)-MIN(Summary!$F15:$L15)))*100))</f>
        <v/>
      </c>
      <c r="E46" s="32">
        <f>IF(OR(Summary!H15="",Summary!$O15&lt;2),"",IF(MAX(Summary!$F15:$L15)=MIN(Summary!$F15:$L15),100,IF(Summary!$E15="Lower",(MAX(Summary!$F15:$L15)-Summary!H15)/(MAX(Summary!$F15:$L15)-MIN(Summary!$F15:$L15)),(Summary!H15-MIN(Summary!$F15:$L15))/(MAX(Summary!$F15:$L15)-MIN(Summary!$F15:$L15)))*100))</f>
        <v/>
      </c>
      <c r="F46" s="32">
        <f>IF(OR(Summary!I15="",Summary!$O15&lt;2),"",IF(MAX(Summary!$F15:$L15)=MIN(Summary!$F15:$L15),100,IF(Summary!$E15="Lower",(MAX(Summary!$F15:$L15)-Summary!I15)/(MAX(Summary!$F15:$L15)-MIN(Summary!$F15:$L15)),(Summary!I15-MIN(Summary!$F15:$L15))/(MAX(Summary!$F15:$L15)-MIN(Summary!$F15:$L15)))*100))</f>
        <v/>
      </c>
      <c r="G46" s="32">
        <f>IF(OR(Summary!J15="",Summary!$O15&lt;2),"",IF(MAX(Summary!$F15:$L15)=MIN(Summary!$F15:$L15),100,IF(Summary!$E15="Lower",(MAX(Summary!$F15:$L15)-Summary!J15)/(MAX(Summary!$F15:$L15)-MIN(Summary!$F15:$L15)),(Summary!J15-MIN(Summary!$F15:$L15))/(MAX(Summary!$F15:$L15)-MIN(Summary!$F15:$L15)))*100))</f>
        <v/>
      </c>
      <c r="H46" s="32">
        <f>IF(OR(Summary!K15="",Summary!$O15&lt;2),"",IF(MAX(Summary!$F15:$L15)=MIN(Summary!$F15:$L15),100,IF(Summary!$E15="Lower",(MAX(Summary!$F15:$L15)-Summary!K15)/(MAX(Summary!$F15:$L15)-MIN(Summary!$F15:$L15)),(Summary!K15-MIN(Summary!$F15:$L15))/(MAX(Summary!$F15:$L15)-MIN(Summary!$F15:$L15)))*100))</f>
        <v/>
      </c>
      <c r="I46" s="32">
        <f>IF(OR(Summary!L15="",Summary!$O15&lt;2),"",IF(MAX(Summary!$F15:$L15)=MIN(Summary!$F15:$L15),100,IF(Summary!$E15="Lower",(MAX(Summary!$F15:$L15)-Summary!L15)/(MAX(Summary!$F15:$L15)-MIN(Summary!$F15:$L15)),(Summary!L15-MIN(Summary!$F15:$L15))/(MAX(Summary!$F15:$L15)-MIN(Summary!$F15:$L15)))*100))</f>
        <v/>
      </c>
    </row>
    <row r="47">
      <c r="A47" s="7">
        <f>Summary!A16</f>
        <v/>
      </c>
      <c r="B47" s="7">
        <f>Summary!B16</f>
        <v/>
      </c>
      <c r="C47" s="31">
        <f>IF(OR(Summary!F16="",Summary!$O16&lt;2),"",IF(MAX(Summary!$F16:$L16)=MIN(Summary!$F16:$L16),100,IF(Summary!$E16="Lower",(MAX(Summary!$F16:$L16)-Summary!F16)/(MAX(Summary!$F16:$L16)-MIN(Summary!$F16:$L16)),(Summary!F16-MIN(Summary!$F16:$L16))/(MAX(Summary!$F16:$L16)-MIN(Summary!$F16:$L16)))*100))</f>
        <v/>
      </c>
      <c r="D47" s="32">
        <f>IF(OR(Summary!G16="",Summary!$O16&lt;2),"",IF(MAX(Summary!$F16:$L16)=MIN(Summary!$F16:$L16),100,IF(Summary!$E16="Lower",(MAX(Summary!$F16:$L16)-Summary!G16)/(MAX(Summary!$F16:$L16)-MIN(Summary!$F16:$L16)),(Summary!G16-MIN(Summary!$F16:$L16))/(MAX(Summary!$F16:$L16)-MIN(Summary!$F16:$L16)))*100))</f>
        <v/>
      </c>
      <c r="E47" s="32">
        <f>IF(OR(Summary!H16="",Summary!$O16&lt;2),"",IF(MAX(Summary!$F16:$L16)=MIN(Summary!$F16:$L16),100,IF(Summary!$E16="Lower",(MAX(Summary!$F16:$L16)-Summary!H16)/(MAX(Summary!$F16:$L16)-MIN(Summary!$F16:$L16)),(Summary!H16-MIN(Summary!$F16:$L16))/(MAX(Summary!$F16:$L16)-MIN(Summary!$F16:$L16)))*100))</f>
        <v/>
      </c>
      <c r="F47" s="32">
        <f>IF(OR(Summary!I16="",Summary!$O16&lt;2),"",IF(MAX(Summary!$F16:$L16)=MIN(Summary!$F16:$L16),100,IF(Summary!$E16="Lower",(MAX(Summary!$F16:$L16)-Summary!I16)/(MAX(Summary!$F16:$L16)-MIN(Summary!$F16:$L16)),(Summary!I16-MIN(Summary!$F16:$L16))/(MAX(Summary!$F16:$L16)-MIN(Summary!$F16:$L16)))*100))</f>
        <v/>
      </c>
      <c r="G47" s="32">
        <f>IF(OR(Summary!J16="",Summary!$O16&lt;2),"",IF(MAX(Summary!$F16:$L16)=MIN(Summary!$F16:$L16),100,IF(Summary!$E16="Lower",(MAX(Summary!$F16:$L16)-Summary!J16)/(MAX(Summary!$F16:$L16)-MIN(Summary!$F16:$L16)),(Summary!J16-MIN(Summary!$F16:$L16))/(MAX(Summary!$F16:$L16)-MIN(Summary!$F16:$L16)))*100))</f>
        <v/>
      </c>
      <c r="H47" s="32">
        <f>IF(OR(Summary!K16="",Summary!$O16&lt;2),"",IF(MAX(Summary!$F16:$L16)=MIN(Summary!$F16:$L16),100,IF(Summary!$E16="Lower",(MAX(Summary!$F16:$L16)-Summary!K16)/(MAX(Summary!$F16:$L16)-MIN(Summary!$F16:$L16)),(Summary!K16-MIN(Summary!$F16:$L16))/(MAX(Summary!$F16:$L16)-MIN(Summary!$F16:$L16)))*100))</f>
        <v/>
      </c>
      <c r="I47" s="32">
        <f>IF(OR(Summary!L16="",Summary!$O16&lt;2),"",IF(MAX(Summary!$F16:$L16)=MIN(Summary!$F16:$L16),100,IF(Summary!$E16="Lower",(MAX(Summary!$F16:$L16)-Summary!L16)/(MAX(Summary!$F16:$L16)-MIN(Summary!$F16:$L16)),(Summary!L16-MIN(Summary!$F16:$L16))/(MAX(Summary!$F16:$L16)-MIN(Summary!$F16:$L16)))*100))</f>
        <v/>
      </c>
    </row>
    <row r="48">
      <c r="A48" s="7">
        <f>Summary!A17</f>
        <v/>
      </c>
      <c r="B48" s="7">
        <f>Summary!B17</f>
        <v/>
      </c>
      <c r="C48" s="31">
        <f>IF(OR(Summary!F17="",Summary!$O17&lt;2),"",IF(MAX(Summary!$F17:$L17)=MIN(Summary!$F17:$L17),100,IF(Summary!$E17="Lower",(MAX(Summary!$F17:$L17)-Summary!F17)/(MAX(Summary!$F17:$L17)-MIN(Summary!$F17:$L17)),(Summary!F17-MIN(Summary!$F17:$L17))/(MAX(Summary!$F17:$L17)-MIN(Summary!$F17:$L17)))*100))</f>
        <v/>
      </c>
      <c r="D48" s="32">
        <f>IF(OR(Summary!G17="",Summary!$O17&lt;2),"",IF(MAX(Summary!$F17:$L17)=MIN(Summary!$F17:$L17),100,IF(Summary!$E17="Lower",(MAX(Summary!$F17:$L17)-Summary!G17)/(MAX(Summary!$F17:$L17)-MIN(Summary!$F17:$L17)),(Summary!G17-MIN(Summary!$F17:$L17))/(MAX(Summary!$F17:$L17)-MIN(Summary!$F17:$L17)))*100))</f>
        <v/>
      </c>
      <c r="E48" s="32">
        <f>IF(OR(Summary!H17="",Summary!$O17&lt;2),"",IF(MAX(Summary!$F17:$L17)=MIN(Summary!$F17:$L17),100,IF(Summary!$E17="Lower",(MAX(Summary!$F17:$L17)-Summary!H17)/(MAX(Summary!$F17:$L17)-MIN(Summary!$F17:$L17)),(Summary!H17-MIN(Summary!$F17:$L17))/(MAX(Summary!$F17:$L17)-MIN(Summary!$F17:$L17)))*100))</f>
        <v/>
      </c>
      <c r="F48" s="32">
        <f>IF(OR(Summary!I17="",Summary!$O17&lt;2),"",IF(MAX(Summary!$F17:$L17)=MIN(Summary!$F17:$L17),100,IF(Summary!$E17="Lower",(MAX(Summary!$F17:$L17)-Summary!I17)/(MAX(Summary!$F17:$L17)-MIN(Summary!$F17:$L17)),(Summary!I17-MIN(Summary!$F17:$L17))/(MAX(Summary!$F17:$L17)-MIN(Summary!$F17:$L17)))*100))</f>
        <v/>
      </c>
      <c r="G48" s="32">
        <f>IF(OR(Summary!J17="",Summary!$O17&lt;2),"",IF(MAX(Summary!$F17:$L17)=MIN(Summary!$F17:$L17),100,IF(Summary!$E17="Lower",(MAX(Summary!$F17:$L17)-Summary!J17)/(MAX(Summary!$F17:$L17)-MIN(Summary!$F17:$L17)),(Summary!J17-MIN(Summary!$F17:$L17))/(MAX(Summary!$F17:$L17)-MIN(Summary!$F17:$L17)))*100))</f>
        <v/>
      </c>
      <c r="H48" s="32">
        <f>IF(OR(Summary!K17="",Summary!$O17&lt;2),"",IF(MAX(Summary!$F17:$L17)=MIN(Summary!$F17:$L17),100,IF(Summary!$E17="Lower",(MAX(Summary!$F17:$L17)-Summary!K17)/(MAX(Summary!$F17:$L17)-MIN(Summary!$F17:$L17)),(Summary!K17-MIN(Summary!$F17:$L17))/(MAX(Summary!$F17:$L17)-MIN(Summary!$F17:$L17)))*100))</f>
        <v/>
      </c>
      <c r="I48" s="32">
        <f>IF(OR(Summary!L17="",Summary!$O17&lt;2),"",IF(MAX(Summary!$F17:$L17)=MIN(Summary!$F17:$L17),100,IF(Summary!$E17="Lower",(MAX(Summary!$F17:$L17)-Summary!L17)/(MAX(Summary!$F17:$L17)-MIN(Summary!$F17:$L17)),(Summary!L17-MIN(Summary!$F17:$L17))/(MAX(Summary!$F17:$L17)-MIN(Summary!$F17:$L17)))*100))</f>
        <v/>
      </c>
    </row>
    <row r="49">
      <c r="A49" s="7">
        <f>Summary!A18</f>
        <v/>
      </c>
      <c r="B49" s="7">
        <f>Summary!B18</f>
        <v/>
      </c>
      <c r="C49" s="31">
        <f>IF(OR(Summary!F18="",Summary!$O18&lt;2),"",IF(MAX(Summary!$F18:$L18)=MIN(Summary!$F18:$L18),100,IF(Summary!$E18="Lower",(MAX(Summary!$F18:$L18)-Summary!F18)/(MAX(Summary!$F18:$L18)-MIN(Summary!$F18:$L18)),(Summary!F18-MIN(Summary!$F18:$L18))/(MAX(Summary!$F18:$L18)-MIN(Summary!$F18:$L18)))*100))</f>
        <v/>
      </c>
      <c r="D49" s="32">
        <f>IF(OR(Summary!G18="",Summary!$O18&lt;2),"",IF(MAX(Summary!$F18:$L18)=MIN(Summary!$F18:$L18),100,IF(Summary!$E18="Lower",(MAX(Summary!$F18:$L18)-Summary!G18)/(MAX(Summary!$F18:$L18)-MIN(Summary!$F18:$L18)),(Summary!G18-MIN(Summary!$F18:$L18))/(MAX(Summary!$F18:$L18)-MIN(Summary!$F18:$L18)))*100))</f>
        <v/>
      </c>
      <c r="E49" s="32">
        <f>IF(OR(Summary!H18="",Summary!$O18&lt;2),"",IF(MAX(Summary!$F18:$L18)=MIN(Summary!$F18:$L18),100,IF(Summary!$E18="Lower",(MAX(Summary!$F18:$L18)-Summary!H18)/(MAX(Summary!$F18:$L18)-MIN(Summary!$F18:$L18)),(Summary!H18-MIN(Summary!$F18:$L18))/(MAX(Summary!$F18:$L18)-MIN(Summary!$F18:$L18)))*100))</f>
        <v/>
      </c>
      <c r="F49" s="32">
        <f>IF(OR(Summary!I18="",Summary!$O18&lt;2),"",IF(MAX(Summary!$F18:$L18)=MIN(Summary!$F18:$L18),100,IF(Summary!$E18="Lower",(MAX(Summary!$F18:$L18)-Summary!I18)/(MAX(Summary!$F18:$L18)-MIN(Summary!$F18:$L18)),(Summary!I18-MIN(Summary!$F18:$L18))/(MAX(Summary!$F18:$L18)-MIN(Summary!$F18:$L18)))*100))</f>
        <v/>
      </c>
      <c r="G49" s="32">
        <f>IF(OR(Summary!J18="",Summary!$O18&lt;2),"",IF(MAX(Summary!$F18:$L18)=MIN(Summary!$F18:$L18),100,IF(Summary!$E18="Lower",(MAX(Summary!$F18:$L18)-Summary!J18)/(MAX(Summary!$F18:$L18)-MIN(Summary!$F18:$L18)),(Summary!J18-MIN(Summary!$F18:$L18))/(MAX(Summary!$F18:$L18)-MIN(Summary!$F18:$L18)))*100))</f>
        <v/>
      </c>
      <c r="H49" s="32">
        <f>IF(OR(Summary!K18="",Summary!$O18&lt;2),"",IF(MAX(Summary!$F18:$L18)=MIN(Summary!$F18:$L18),100,IF(Summary!$E18="Lower",(MAX(Summary!$F18:$L18)-Summary!K18)/(MAX(Summary!$F18:$L18)-MIN(Summary!$F18:$L18)),(Summary!K18-MIN(Summary!$F18:$L18))/(MAX(Summary!$F18:$L18)-MIN(Summary!$F18:$L18)))*100))</f>
        <v/>
      </c>
      <c r="I49" s="32">
        <f>IF(OR(Summary!L18="",Summary!$O18&lt;2),"",IF(MAX(Summary!$F18:$L18)=MIN(Summary!$F18:$L18),100,IF(Summary!$E18="Lower",(MAX(Summary!$F18:$L18)-Summary!L18)/(MAX(Summary!$F18:$L18)-MIN(Summary!$F18:$L18)),(Summary!L18-MIN(Summary!$F18:$L18))/(MAX(Summary!$F18:$L18)-MIN(Summary!$F18:$L18)))*100))</f>
        <v/>
      </c>
    </row>
    <row r="50">
      <c r="A50" s="7">
        <f>Summary!A19</f>
        <v/>
      </c>
      <c r="B50" s="7">
        <f>Summary!B19</f>
        <v/>
      </c>
      <c r="C50" s="31">
        <f>IF(OR(Summary!F19="",Summary!$O19&lt;2),"",IF(MAX(Summary!$F19:$L19)=MIN(Summary!$F19:$L19),100,IF(Summary!$E19="Lower",(MAX(Summary!$F19:$L19)-Summary!F19)/(MAX(Summary!$F19:$L19)-MIN(Summary!$F19:$L19)),(Summary!F19-MIN(Summary!$F19:$L19))/(MAX(Summary!$F19:$L19)-MIN(Summary!$F19:$L19)))*100))</f>
        <v/>
      </c>
      <c r="D50" s="32">
        <f>IF(OR(Summary!G19="",Summary!$O19&lt;2),"",IF(MAX(Summary!$F19:$L19)=MIN(Summary!$F19:$L19),100,IF(Summary!$E19="Lower",(MAX(Summary!$F19:$L19)-Summary!G19)/(MAX(Summary!$F19:$L19)-MIN(Summary!$F19:$L19)),(Summary!G19-MIN(Summary!$F19:$L19))/(MAX(Summary!$F19:$L19)-MIN(Summary!$F19:$L19)))*100))</f>
        <v/>
      </c>
      <c r="E50" s="32">
        <f>IF(OR(Summary!H19="",Summary!$O19&lt;2),"",IF(MAX(Summary!$F19:$L19)=MIN(Summary!$F19:$L19),100,IF(Summary!$E19="Lower",(MAX(Summary!$F19:$L19)-Summary!H19)/(MAX(Summary!$F19:$L19)-MIN(Summary!$F19:$L19)),(Summary!H19-MIN(Summary!$F19:$L19))/(MAX(Summary!$F19:$L19)-MIN(Summary!$F19:$L19)))*100))</f>
        <v/>
      </c>
      <c r="F50" s="32">
        <f>IF(OR(Summary!I19="",Summary!$O19&lt;2),"",IF(MAX(Summary!$F19:$L19)=MIN(Summary!$F19:$L19),100,IF(Summary!$E19="Lower",(MAX(Summary!$F19:$L19)-Summary!I19)/(MAX(Summary!$F19:$L19)-MIN(Summary!$F19:$L19)),(Summary!I19-MIN(Summary!$F19:$L19))/(MAX(Summary!$F19:$L19)-MIN(Summary!$F19:$L19)))*100))</f>
        <v/>
      </c>
      <c r="G50" s="32">
        <f>IF(OR(Summary!J19="",Summary!$O19&lt;2),"",IF(MAX(Summary!$F19:$L19)=MIN(Summary!$F19:$L19),100,IF(Summary!$E19="Lower",(MAX(Summary!$F19:$L19)-Summary!J19)/(MAX(Summary!$F19:$L19)-MIN(Summary!$F19:$L19)),(Summary!J19-MIN(Summary!$F19:$L19))/(MAX(Summary!$F19:$L19)-MIN(Summary!$F19:$L19)))*100))</f>
        <v/>
      </c>
      <c r="H50" s="32">
        <f>IF(OR(Summary!K19="",Summary!$O19&lt;2),"",IF(MAX(Summary!$F19:$L19)=MIN(Summary!$F19:$L19),100,IF(Summary!$E19="Lower",(MAX(Summary!$F19:$L19)-Summary!K19)/(MAX(Summary!$F19:$L19)-MIN(Summary!$F19:$L19)),(Summary!K19-MIN(Summary!$F19:$L19))/(MAX(Summary!$F19:$L19)-MIN(Summary!$F19:$L19)))*100))</f>
        <v/>
      </c>
      <c r="I50" s="32">
        <f>IF(OR(Summary!L19="",Summary!$O19&lt;2),"",IF(MAX(Summary!$F19:$L19)=MIN(Summary!$F19:$L19),100,IF(Summary!$E19="Lower",(MAX(Summary!$F19:$L19)-Summary!L19)/(MAX(Summary!$F19:$L19)-MIN(Summary!$F19:$L19)),(Summary!L19-MIN(Summary!$F19:$L19))/(MAX(Summary!$F19:$L19)-MIN(Summary!$F19:$L19)))*100))</f>
        <v/>
      </c>
    </row>
    <row r="51">
      <c r="A51" s="7">
        <f>Summary!A20</f>
        <v/>
      </c>
      <c r="B51" s="7">
        <f>Summary!B20</f>
        <v/>
      </c>
      <c r="C51" s="31">
        <f>IF(OR(Summary!F20="",Summary!$O20&lt;2),"",IF(MAX(Summary!$F20:$L20)=MIN(Summary!$F20:$L20),100,IF(Summary!$E20="Lower",(MAX(Summary!$F20:$L20)-Summary!F20)/(MAX(Summary!$F20:$L20)-MIN(Summary!$F20:$L20)),(Summary!F20-MIN(Summary!$F20:$L20))/(MAX(Summary!$F20:$L20)-MIN(Summary!$F20:$L20)))*100))</f>
        <v/>
      </c>
      <c r="D51" s="32">
        <f>IF(OR(Summary!G20="",Summary!$O20&lt;2),"",IF(MAX(Summary!$F20:$L20)=MIN(Summary!$F20:$L20),100,IF(Summary!$E20="Lower",(MAX(Summary!$F20:$L20)-Summary!G20)/(MAX(Summary!$F20:$L20)-MIN(Summary!$F20:$L20)),(Summary!G20-MIN(Summary!$F20:$L20))/(MAX(Summary!$F20:$L20)-MIN(Summary!$F20:$L20)))*100))</f>
        <v/>
      </c>
      <c r="E51" s="32">
        <f>IF(OR(Summary!H20="",Summary!$O20&lt;2),"",IF(MAX(Summary!$F20:$L20)=MIN(Summary!$F20:$L20),100,IF(Summary!$E20="Lower",(MAX(Summary!$F20:$L20)-Summary!H20)/(MAX(Summary!$F20:$L20)-MIN(Summary!$F20:$L20)),(Summary!H20-MIN(Summary!$F20:$L20))/(MAX(Summary!$F20:$L20)-MIN(Summary!$F20:$L20)))*100))</f>
        <v/>
      </c>
      <c r="F51" s="32">
        <f>IF(OR(Summary!I20="",Summary!$O20&lt;2),"",IF(MAX(Summary!$F20:$L20)=MIN(Summary!$F20:$L20),100,IF(Summary!$E20="Lower",(MAX(Summary!$F20:$L20)-Summary!I20)/(MAX(Summary!$F20:$L20)-MIN(Summary!$F20:$L20)),(Summary!I20-MIN(Summary!$F20:$L20))/(MAX(Summary!$F20:$L20)-MIN(Summary!$F20:$L20)))*100))</f>
        <v/>
      </c>
      <c r="G51" s="32">
        <f>IF(OR(Summary!J20="",Summary!$O20&lt;2),"",IF(MAX(Summary!$F20:$L20)=MIN(Summary!$F20:$L20),100,IF(Summary!$E20="Lower",(MAX(Summary!$F20:$L20)-Summary!J20)/(MAX(Summary!$F20:$L20)-MIN(Summary!$F20:$L20)),(Summary!J20-MIN(Summary!$F20:$L20))/(MAX(Summary!$F20:$L20)-MIN(Summary!$F20:$L20)))*100))</f>
        <v/>
      </c>
      <c r="H51" s="32">
        <f>IF(OR(Summary!K20="",Summary!$O20&lt;2),"",IF(MAX(Summary!$F20:$L20)=MIN(Summary!$F20:$L20),100,IF(Summary!$E20="Lower",(MAX(Summary!$F20:$L20)-Summary!K20)/(MAX(Summary!$F20:$L20)-MIN(Summary!$F20:$L20)),(Summary!K20-MIN(Summary!$F20:$L20))/(MAX(Summary!$F20:$L20)-MIN(Summary!$F20:$L20)))*100))</f>
        <v/>
      </c>
      <c r="I51" s="32">
        <f>IF(OR(Summary!L20="",Summary!$O20&lt;2),"",IF(MAX(Summary!$F20:$L20)=MIN(Summary!$F20:$L20),100,IF(Summary!$E20="Lower",(MAX(Summary!$F20:$L20)-Summary!L20)/(MAX(Summary!$F20:$L20)-MIN(Summary!$F20:$L20)),(Summary!L20-MIN(Summary!$F20:$L20))/(MAX(Summary!$F20:$L20)-MIN(Summary!$F20:$L20)))*100))</f>
        <v/>
      </c>
    </row>
    <row r="52">
      <c r="A52" s="7">
        <f>Summary!A21</f>
        <v/>
      </c>
      <c r="B52" s="7">
        <f>Summary!B21</f>
        <v/>
      </c>
      <c r="C52" s="31">
        <f>IF(OR(Summary!F21="",Summary!$O21&lt;2),"",IF(MAX(Summary!$F21:$L21)=MIN(Summary!$F21:$L21),100,IF(Summary!$E21="Lower",(MAX(Summary!$F21:$L21)-Summary!F21)/(MAX(Summary!$F21:$L21)-MIN(Summary!$F21:$L21)),(Summary!F21-MIN(Summary!$F21:$L21))/(MAX(Summary!$F21:$L21)-MIN(Summary!$F21:$L21)))*100))</f>
        <v/>
      </c>
      <c r="D52" s="32">
        <f>IF(OR(Summary!G21="",Summary!$O21&lt;2),"",IF(MAX(Summary!$F21:$L21)=MIN(Summary!$F21:$L21),100,IF(Summary!$E21="Lower",(MAX(Summary!$F21:$L21)-Summary!G21)/(MAX(Summary!$F21:$L21)-MIN(Summary!$F21:$L21)),(Summary!G21-MIN(Summary!$F21:$L21))/(MAX(Summary!$F21:$L21)-MIN(Summary!$F21:$L21)))*100))</f>
        <v/>
      </c>
      <c r="E52" s="32">
        <f>IF(OR(Summary!H21="",Summary!$O21&lt;2),"",IF(MAX(Summary!$F21:$L21)=MIN(Summary!$F21:$L21),100,IF(Summary!$E21="Lower",(MAX(Summary!$F21:$L21)-Summary!H21)/(MAX(Summary!$F21:$L21)-MIN(Summary!$F21:$L21)),(Summary!H21-MIN(Summary!$F21:$L21))/(MAX(Summary!$F21:$L21)-MIN(Summary!$F21:$L21)))*100))</f>
        <v/>
      </c>
      <c r="F52" s="32">
        <f>IF(OR(Summary!I21="",Summary!$O21&lt;2),"",IF(MAX(Summary!$F21:$L21)=MIN(Summary!$F21:$L21),100,IF(Summary!$E21="Lower",(MAX(Summary!$F21:$L21)-Summary!I21)/(MAX(Summary!$F21:$L21)-MIN(Summary!$F21:$L21)),(Summary!I21-MIN(Summary!$F21:$L21))/(MAX(Summary!$F21:$L21)-MIN(Summary!$F21:$L21)))*100))</f>
        <v/>
      </c>
      <c r="G52" s="32">
        <f>IF(OR(Summary!J21="",Summary!$O21&lt;2),"",IF(MAX(Summary!$F21:$L21)=MIN(Summary!$F21:$L21),100,IF(Summary!$E21="Lower",(MAX(Summary!$F21:$L21)-Summary!J21)/(MAX(Summary!$F21:$L21)-MIN(Summary!$F21:$L21)),(Summary!J21-MIN(Summary!$F21:$L21))/(MAX(Summary!$F21:$L21)-MIN(Summary!$F21:$L21)))*100))</f>
        <v/>
      </c>
      <c r="H52" s="32">
        <f>IF(OR(Summary!K21="",Summary!$O21&lt;2),"",IF(MAX(Summary!$F21:$L21)=MIN(Summary!$F21:$L21),100,IF(Summary!$E21="Lower",(MAX(Summary!$F21:$L21)-Summary!K21)/(MAX(Summary!$F21:$L21)-MIN(Summary!$F21:$L21)),(Summary!K21-MIN(Summary!$F21:$L21))/(MAX(Summary!$F21:$L21)-MIN(Summary!$F21:$L21)))*100))</f>
        <v/>
      </c>
      <c r="I52" s="32">
        <f>IF(OR(Summary!L21="",Summary!$O21&lt;2),"",IF(MAX(Summary!$F21:$L21)=MIN(Summary!$F21:$L21),100,IF(Summary!$E21="Lower",(MAX(Summary!$F21:$L21)-Summary!L21)/(MAX(Summary!$F21:$L21)-MIN(Summary!$F21:$L21)),(Summary!L21-MIN(Summary!$F21:$L21))/(MAX(Summary!$F21:$L21)-MIN(Summary!$F21:$L21)))*100))</f>
        <v/>
      </c>
    </row>
    <row r="53">
      <c r="A53" s="7">
        <f>Summary!A22</f>
        <v/>
      </c>
      <c r="B53" s="7">
        <f>Summary!B22</f>
        <v/>
      </c>
      <c r="C53" s="31">
        <f>IF(OR(Summary!F22="",Summary!$O22&lt;2),"",IF(MAX(Summary!$F22:$L22)=MIN(Summary!$F22:$L22),100,IF(Summary!$E22="Lower",(MAX(Summary!$F22:$L22)-Summary!F22)/(MAX(Summary!$F22:$L22)-MIN(Summary!$F22:$L22)),(Summary!F22-MIN(Summary!$F22:$L22))/(MAX(Summary!$F22:$L22)-MIN(Summary!$F22:$L22)))*100))</f>
        <v/>
      </c>
      <c r="D53" s="32">
        <f>IF(OR(Summary!G22="",Summary!$O22&lt;2),"",IF(MAX(Summary!$F22:$L22)=MIN(Summary!$F22:$L22),100,IF(Summary!$E22="Lower",(MAX(Summary!$F22:$L22)-Summary!G22)/(MAX(Summary!$F22:$L22)-MIN(Summary!$F22:$L22)),(Summary!G22-MIN(Summary!$F22:$L22))/(MAX(Summary!$F22:$L22)-MIN(Summary!$F22:$L22)))*100))</f>
        <v/>
      </c>
      <c r="E53" s="32">
        <f>IF(OR(Summary!H22="",Summary!$O22&lt;2),"",IF(MAX(Summary!$F22:$L22)=MIN(Summary!$F22:$L22),100,IF(Summary!$E22="Lower",(MAX(Summary!$F22:$L22)-Summary!H22)/(MAX(Summary!$F22:$L22)-MIN(Summary!$F22:$L22)),(Summary!H22-MIN(Summary!$F22:$L22))/(MAX(Summary!$F22:$L22)-MIN(Summary!$F22:$L22)))*100))</f>
        <v/>
      </c>
      <c r="F53" s="32">
        <f>IF(OR(Summary!I22="",Summary!$O22&lt;2),"",IF(MAX(Summary!$F22:$L22)=MIN(Summary!$F22:$L22),100,IF(Summary!$E22="Lower",(MAX(Summary!$F22:$L22)-Summary!I22)/(MAX(Summary!$F22:$L22)-MIN(Summary!$F22:$L22)),(Summary!I22-MIN(Summary!$F22:$L22))/(MAX(Summary!$F22:$L22)-MIN(Summary!$F22:$L22)))*100))</f>
        <v/>
      </c>
      <c r="G53" s="32">
        <f>IF(OR(Summary!J22="",Summary!$O22&lt;2),"",IF(MAX(Summary!$F22:$L22)=MIN(Summary!$F22:$L22),100,IF(Summary!$E22="Lower",(MAX(Summary!$F22:$L22)-Summary!J22)/(MAX(Summary!$F22:$L22)-MIN(Summary!$F22:$L22)),(Summary!J22-MIN(Summary!$F22:$L22))/(MAX(Summary!$F22:$L22)-MIN(Summary!$F22:$L22)))*100))</f>
        <v/>
      </c>
      <c r="H53" s="32">
        <f>IF(OR(Summary!K22="",Summary!$O22&lt;2),"",IF(MAX(Summary!$F22:$L22)=MIN(Summary!$F22:$L22),100,IF(Summary!$E22="Lower",(MAX(Summary!$F22:$L22)-Summary!K22)/(MAX(Summary!$F22:$L22)-MIN(Summary!$F22:$L22)),(Summary!K22-MIN(Summary!$F22:$L22))/(MAX(Summary!$F22:$L22)-MIN(Summary!$F22:$L22)))*100))</f>
        <v/>
      </c>
      <c r="I53" s="32">
        <f>IF(OR(Summary!L22="",Summary!$O22&lt;2),"",IF(MAX(Summary!$F22:$L22)=MIN(Summary!$F22:$L22),100,IF(Summary!$E22="Lower",(MAX(Summary!$F22:$L22)-Summary!L22)/(MAX(Summary!$F22:$L22)-MIN(Summary!$F22:$L22)),(Summary!L22-MIN(Summary!$F22:$L22))/(MAX(Summary!$F22:$L22)-MIN(Summary!$F22:$L22)))*100))</f>
        <v/>
      </c>
    </row>
    <row r="54">
      <c r="A54" s="7">
        <f>Summary!A23</f>
        <v/>
      </c>
      <c r="B54" s="7">
        <f>Summary!B23</f>
        <v/>
      </c>
      <c r="C54" s="31">
        <f>IF(OR(Summary!F23="",Summary!$O23&lt;2),"",IF(MAX(Summary!$F23:$L23)=MIN(Summary!$F23:$L23),100,IF(Summary!$E23="Lower",(MAX(Summary!$F23:$L23)-Summary!F23)/(MAX(Summary!$F23:$L23)-MIN(Summary!$F23:$L23)),(Summary!F23-MIN(Summary!$F23:$L23))/(MAX(Summary!$F23:$L23)-MIN(Summary!$F23:$L23)))*100))</f>
        <v/>
      </c>
      <c r="D54" s="32">
        <f>IF(OR(Summary!G23="",Summary!$O23&lt;2),"",IF(MAX(Summary!$F23:$L23)=MIN(Summary!$F23:$L23),100,IF(Summary!$E23="Lower",(MAX(Summary!$F23:$L23)-Summary!G23)/(MAX(Summary!$F23:$L23)-MIN(Summary!$F23:$L23)),(Summary!G23-MIN(Summary!$F23:$L23))/(MAX(Summary!$F23:$L23)-MIN(Summary!$F23:$L23)))*100))</f>
        <v/>
      </c>
      <c r="E54" s="32">
        <f>IF(OR(Summary!H23="",Summary!$O23&lt;2),"",IF(MAX(Summary!$F23:$L23)=MIN(Summary!$F23:$L23),100,IF(Summary!$E23="Lower",(MAX(Summary!$F23:$L23)-Summary!H23)/(MAX(Summary!$F23:$L23)-MIN(Summary!$F23:$L23)),(Summary!H23-MIN(Summary!$F23:$L23))/(MAX(Summary!$F23:$L23)-MIN(Summary!$F23:$L23)))*100))</f>
        <v/>
      </c>
      <c r="F54" s="32">
        <f>IF(OR(Summary!I23="",Summary!$O23&lt;2),"",IF(MAX(Summary!$F23:$L23)=MIN(Summary!$F23:$L23),100,IF(Summary!$E23="Lower",(MAX(Summary!$F23:$L23)-Summary!I23)/(MAX(Summary!$F23:$L23)-MIN(Summary!$F23:$L23)),(Summary!I23-MIN(Summary!$F23:$L23))/(MAX(Summary!$F23:$L23)-MIN(Summary!$F23:$L23)))*100))</f>
        <v/>
      </c>
      <c r="G54" s="32">
        <f>IF(OR(Summary!J23="",Summary!$O23&lt;2),"",IF(MAX(Summary!$F23:$L23)=MIN(Summary!$F23:$L23),100,IF(Summary!$E23="Lower",(MAX(Summary!$F23:$L23)-Summary!J23)/(MAX(Summary!$F23:$L23)-MIN(Summary!$F23:$L23)),(Summary!J23-MIN(Summary!$F23:$L23))/(MAX(Summary!$F23:$L23)-MIN(Summary!$F23:$L23)))*100))</f>
        <v/>
      </c>
      <c r="H54" s="32">
        <f>IF(OR(Summary!K23="",Summary!$O23&lt;2),"",IF(MAX(Summary!$F23:$L23)=MIN(Summary!$F23:$L23),100,IF(Summary!$E23="Lower",(MAX(Summary!$F23:$L23)-Summary!K23)/(MAX(Summary!$F23:$L23)-MIN(Summary!$F23:$L23)),(Summary!K23-MIN(Summary!$F23:$L23))/(MAX(Summary!$F23:$L23)-MIN(Summary!$F23:$L23)))*100))</f>
        <v/>
      </c>
      <c r="I54" s="32">
        <f>IF(OR(Summary!L23="",Summary!$O23&lt;2),"",IF(MAX(Summary!$F23:$L23)=MIN(Summary!$F23:$L23),100,IF(Summary!$E23="Lower",(MAX(Summary!$F23:$L23)-Summary!L23)/(MAX(Summary!$F23:$L23)-MIN(Summary!$F23:$L23)),(Summary!L23-MIN(Summary!$F23:$L23))/(MAX(Summary!$F23:$L23)-MIN(Summary!$F23:$L23)))*100))</f>
        <v/>
      </c>
    </row>
    <row r="55">
      <c r="A55" s="7">
        <f>Summary!A24</f>
        <v/>
      </c>
      <c r="B55" s="7">
        <f>Summary!B24</f>
        <v/>
      </c>
      <c r="C55" s="31">
        <f>IF(OR(Summary!F24="",Summary!$O24&lt;2),"",IF(MAX(Summary!$F24:$L24)=MIN(Summary!$F24:$L24),100,IF(Summary!$E24="Lower",(MAX(Summary!$F24:$L24)-Summary!F24)/(MAX(Summary!$F24:$L24)-MIN(Summary!$F24:$L24)),(Summary!F24-MIN(Summary!$F24:$L24))/(MAX(Summary!$F24:$L24)-MIN(Summary!$F24:$L24)))*100))</f>
        <v/>
      </c>
      <c r="D55" s="32">
        <f>IF(OR(Summary!G24="",Summary!$O24&lt;2),"",IF(MAX(Summary!$F24:$L24)=MIN(Summary!$F24:$L24),100,IF(Summary!$E24="Lower",(MAX(Summary!$F24:$L24)-Summary!G24)/(MAX(Summary!$F24:$L24)-MIN(Summary!$F24:$L24)),(Summary!G24-MIN(Summary!$F24:$L24))/(MAX(Summary!$F24:$L24)-MIN(Summary!$F24:$L24)))*100))</f>
        <v/>
      </c>
      <c r="E55" s="32">
        <f>IF(OR(Summary!H24="",Summary!$O24&lt;2),"",IF(MAX(Summary!$F24:$L24)=MIN(Summary!$F24:$L24),100,IF(Summary!$E24="Lower",(MAX(Summary!$F24:$L24)-Summary!H24)/(MAX(Summary!$F24:$L24)-MIN(Summary!$F24:$L24)),(Summary!H24-MIN(Summary!$F24:$L24))/(MAX(Summary!$F24:$L24)-MIN(Summary!$F24:$L24)))*100))</f>
        <v/>
      </c>
      <c r="F55" s="32">
        <f>IF(OR(Summary!I24="",Summary!$O24&lt;2),"",IF(MAX(Summary!$F24:$L24)=MIN(Summary!$F24:$L24),100,IF(Summary!$E24="Lower",(MAX(Summary!$F24:$L24)-Summary!I24)/(MAX(Summary!$F24:$L24)-MIN(Summary!$F24:$L24)),(Summary!I24-MIN(Summary!$F24:$L24))/(MAX(Summary!$F24:$L24)-MIN(Summary!$F24:$L24)))*100))</f>
        <v/>
      </c>
      <c r="G55" s="32">
        <f>IF(OR(Summary!J24="",Summary!$O24&lt;2),"",IF(MAX(Summary!$F24:$L24)=MIN(Summary!$F24:$L24),100,IF(Summary!$E24="Lower",(MAX(Summary!$F24:$L24)-Summary!J24)/(MAX(Summary!$F24:$L24)-MIN(Summary!$F24:$L24)),(Summary!J24-MIN(Summary!$F24:$L24))/(MAX(Summary!$F24:$L24)-MIN(Summary!$F24:$L24)))*100))</f>
        <v/>
      </c>
      <c r="H55" s="32">
        <f>IF(OR(Summary!K24="",Summary!$O24&lt;2),"",IF(MAX(Summary!$F24:$L24)=MIN(Summary!$F24:$L24),100,IF(Summary!$E24="Lower",(MAX(Summary!$F24:$L24)-Summary!K24)/(MAX(Summary!$F24:$L24)-MIN(Summary!$F24:$L24)),(Summary!K24-MIN(Summary!$F24:$L24))/(MAX(Summary!$F24:$L24)-MIN(Summary!$F24:$L24)))*100))</f>
        <v/>
      </c>
      <c r="I55" s="32">
        <f>IF(OR(Summary!L24="",Summary!$O24&lt;2),"",IF(MAX(Summary!$F24:$L24)=MIN(Summary!$F24:$L24),100,IF(Summary!$E24="Lower",(MAX(Summary!$F24:$L24)-Summary!L24)/(MAX(Summary!$F24:$L24)-MIN(Summary!$F24:$L24)),(Summary!L24-MIN(Summary!$F24:$L24))/(MAX(Summary!$F24:$L24)-MIN(Summary!$F24:$L24)))*100))</f>
        <v/>
      </c>
    </row>
    <row r="56">
      <c r="A56" s="7">
        <f>Summary!A25</f>
        <v/>
      </c>
      <c r="B56" s="7">
        <f>Summary!B25</f>
        <v/>
      </c>
      <c r="C56" s="31">
        <f>IF(OR(Summary!F25="",Summary!$O25&lt;2),"",IF(MAX(Summary!$F25:$L25)=MIN(Summary!$F25:$L25),100,IF(Summary!$E25="Lower",(MAX(Summary!$F25:$L25)-Summary!F25)/(MAX(Summary!$F25:$L25)-MIN(Summary!$F25:$L25)),(Summary!F25-MIN(Summary!$F25:$L25))/(MAX(Summary!$F25:$L25)-MIN(Summary!$F25:$L25)))*100))</f>
        <v/>
      </c>
      <c r="D56" s="32">
        <f>IF(OR(Summary!G25="",Summary!$O25&lt;2),"",IF(MAX(Summary!$F25:$L25)=MIN(Summary!$F25:$L25),100,IF(Summary!$E25="Lower",(MAX(Summary!$F25:$L25)-Summary!G25)/(MAX(Summary!$F25:$L25)-MIN(Summary!$F25:$L25)),(Summary!G25-MIN(Summary!$F25:$L25))/(MAX(Summary!$F25:$L25)-MIN(Summary!$F25:$L25)))*100))</f>
        <v/>
      </c>
      <c r="E56" s="32">
        <f>IF(OR(Summary!H25="",Summary!$O25&lt;2),"",IF(MAX(Summary!$F25:$L25)=MIN(Summary!$F25:$L25),100,IF(Summary!$E25="Lower",(MAX(Summary!$F25:$L25)-Summary!H25)/(MAX(Summary!$F25:$L25)-MIN(Summary!$F25:$L25)),(Summary!H25-MIN(Summary!$F25:$L25))/(MAX(Summary!$F25:$L25)-MIN(Summary!$F25:$L25)))*100))</f>
        <v/>
      </c>
      <c r="F56" s="32">
        <f>IF(OR(Summary!I25="",Summary!$O25&lt;2),"",IF(MAX(Summary!$F25:$L25)=MIN(Summary!$F25:$L25),100,IF(Summary!$E25="Lower",(MAX(Summary!$F25:$L25)-Summary!I25)/(MAX(Summary!$F25:$L25)-MIN(Summary!$F25:$L25)),(Summary!I25-MIN(Summary!$F25:$L25))/(MAX(Summary!$F25:$L25)-MIN(Summary!$F25:$L25)))*100))</f>
        <v/>
      </c>
      <c r="G56" s="32">
        <f>IF(OR(Summary!J25="",Summary!$O25&lt;2),"",IF(MAX(Summary!$F25:$L25)=MIN(Summary!$F25:$L25),100,IF(Summary!$E25="Lower",(MAX(Summary!$F25:$L25)-Summary!J25)/(MAX(Summary!$F25:$L25)-MIN(Summary!$F25:$L25)),(Summary!J25-MIN(Summary!$F25:$L25))/(MAX(Summary!$F25:$L25)-MIN(Summary!$F25:$L25)))*100))</f>
        <v/>
      </c>
      <c r="H56" s="32">
        <f>IF(OR(Summary!K25="",Summary!$O25&lt;2),"",IF(MAX(Summary!$F25:$L25)=MIN(Summary!$F25:$L25),100,IF(Summary!$E25="Lower",(MAX(Summary!$F25:$L25)-Summary!K25)/(MAX(Summary!$F25:$L25)-MIN(Summary!$F25:$L25)),(Summary!K25-MIN(Summary!$F25:$L25))/(MAX(Summary!$F25:$L25)-MIN(Summary!$F25:$L25)))*100))</f>
        <v/>
      </c>
      <c r="I56" s="32">
        <f>IF(OR(Summary!L25="",Summary!$O25&lt;2),"",IF(MAX(Summary!$F25:$L25)=MIN(Summary!$F25:$L25),100,IF(Summary!$E25="Lower",(MAX(Summary!$F25:$L25)-Summary!L25)/(MAX(Summary!$F25:$L25)-MIN(Summary!$F25:$L25)),(Summary!L25-MIN(Summary!$F25:$L25))/(MAX(Summary!$F25:$L25)-MIN(Summary!$F25:$L25)))*100))</f>
        <v/>
      </c>
    </row>
    <row r="57">
      <c r="A57" s="7">
        <f>Summary!A26</f>
        <v/>
      </c>
      <c r="B57" s="7">
        <f>Summary!B26</f>
        <v/>
      </c>
      <c r="C57" s="31">
        <f>IF(OR(Summary!F26="",Summary!$O26&lt;2),"",IF(MAX(Summary!$F26:$L26)=MIN(Summary!$F26:$L26),100,IF(Summary!$E26="Lower",(MAX(Summary!$F26:$L26)-Summary!F26)/(MAX(Summary!$F26:$L26)-MIN(Summary!$F26:$L26)),(Summary!F26-MIN(Summary!$F26:$L26))/(MAX(Summary!$F26:$L26)-MIN(Summary!$F26:$L26)))*100))</f>
        <v/>
      </c>
      <c r="D57" s="32">
        <f>IF(OR(Summary!G26="",Summary!$O26&lt;2),"",IF(MAX(Summary!$F26:$L26)=MIN(Summary!$F26:$L26),100,IF(Summary!$E26="Lower",(MAX(Summary!$F26:$L26)-Summary!G26)/(MAX(Summary!$F26:$L26)-MIN(Summary!$F26:$L26)),(Summary!G26-MIN(Summary!$F26:$L26))/(MAX(Summary!$F26:$L26)-MIN(Summary!$F26:$L26)))*100))</f>
        <v/>
      </c>
      <c r="E57" s="32">
        <f>IF(OR(Summary!H26="",Summary!$O26&lt;2),"",IF(MAX(Summary!$F26:$L26)=MIN(Summary!$F26:$L26),100,IF(Summary!$E26="Lower",(MAX(Summary!$F26:$L26)-Summary!H26)/(MAX(Summary!$F26:$L26)-MIN(Summary!$F26:$L26)),(Summary!H26-MIN(Summary!$F26:$L26))/(MAX(Summary!$F26:$L26)-MIN(Summary!$F26:$L26)))*100))</f>
        <v/>
      </c>
      <c r="F57" s="32">
        <f>IF(OR(Summary!I26="",Summary!$O26&lt;2),"",IF(MAX(Summary!$F26:$L26)=MIN(Summary!$F26:$L26),100,IF(Summary!$E26="Lower",(MAX(Summary!$F26:$L26)-Summary!I26)/(MAX(Summary!$F26:$L26)-MIN(Summary!$F26:$L26)),(Summary!I26-MIN(Summary!$F26:$L26))/(MAX(Summary!$F26:$L26)-MIN(Summary!$F26:$L26)))*100))</f>
        <v/>
      </c>
      <c r="G57" s="32">
        <f>IF(OR(Summary!J26="",Summary!$O26&lt;2),"",IF(MAX(Summary!$F26:$L26)=MIN(Summary!$F26:$L26),100,IF(Summary!$E26="Lower",(MAX(Summary!$F26:$L26)-Summary!J26)/(MAX(Summary!$F26:$L26)-MIN(Summary!$F26:$L26)),(Summary!J26-MIN(Summary!$F26:$L26))/(MAX(Summary!$F26:$L26)-MIN(Summary!$F26:$L26)))*100))</f>
        <v/>
      </c>
      <c r="H57" s="32">
        <f>IF(OR(Summary!K26="",Summary!$O26&lt;2),"",IF(MAX(Summary!$F26:$L26)=MIN(Summary!$F26:$L26),100,IF(Summary!$E26="Lower",(MAX(Summary!$F26:$L26)-Summary!K26)/(MAX(Summary!$F26:$L26)-MIN(Summary!$F26:$L26)),(Summary!K26-MIN(Summary!$F26:$L26))/(MAX(Summary!$F26:$L26)-MIN(Summary!$F26:$L26)))*100))</f>
        <v/>
      </c>
      <c r="I57" s="32">
        <f>IF(OR(Summary!L26="",Summary!$O26&lt;2),"",IF(MAX(Summary!$F26:$L26)=MIN(Summary!$F26:$L26),100,IF(Summary!$E26="Lower",(MAX(Summary!$F26:$L26)-Summary!L26)/(MAX(Summary!$F26:$L26)-MIN(Summary!$F26:$L26)),(Summary!L26-MIN(Summary!$F26:$L26))/(MAX(Summary!$F26:$L26)-MIN(Summary!$F26:$L26)))*100))</f>
        <v/>
      </c>
    </row>
    <row r="58">
      <c r="A58" s="7">
        <f>Summary!A27</f>
        <v/>
      </c>
      <c r="B58" s="7">
        <f>Summary!B27</f>
        <v/>
      </c>
      <c r="C58" s="31">
        <f>IF(OR(Summary!F27="",Summary!$O27&lt;2),"",IF(MAX(Summary!$F27:$L27)=MIN(Summary!$F27:$L27),100,IF(Summary!$E27="Lower",(MAX(Summary!$F27:$L27)-Summary!F27)/(MAX(Summary!$F27:$L27)-MIN(Summary!$F27:$L27)),(Summary!F27-MIN(Summary!$F27:$L27))/(MAX(Summary!$F27:$L27)-MIN(Summary!$F27:$L27)))*100))</f>
        <v/>
      </c>
      <c r="D58" s="32">
        <f>IF(OR(Summary!G27="",Summary!$O27&lt;2),"",IF(MAX(Summary!$F27:$L27)=MIN(Summary!$F27:$L27),100,IF(Summary!$E27="Lower",(MAX(Summary!$F27:$L27)-Summary!G27)/(MAX(Summary!$F27:$L27)-MIN(Summary!$F27:$L27)),(Summary!G27-MIN(Summary!$F27:$L27))/(MAX(Summary!$F27:$L27)-MIN(Summary!$F27:$L27)))*100))</f>
        <v/>
      </c>
      <c r="E58" s="32">
        <f>IF(OR(Summary!H27="",Summary!$O27&lt;2),"",IF(MAX(Summary!$F27:$L27)=MIN(Summary!$F27:$L27),100,IF(Summary!$E27="Lower",(MAX(Summary!$F27:$L27)-Summary!H27)/(MAX(Summary!$F27:$L27)-MIN(Summary!$F27:$L27)),(Summary!H27-MIN(Summary!$F27:$L27))/(MAX(Summary!$F27:$L27)-MIN(Summary!$F27:$L27)))*100))</f>
        <v/>
      </c>
      <c r="F58" s="32">
        <f>IF(OR(Summary!I27="",Summary!$O27&lt;2),"",IF(MAX(Summary!$F27:$L27)=MIN(Summary!$F27:$L27),100,IF(Summary!$E27="Lower",(MAX(Summary!$F27:$L27)-Summary!I27)/(MAX(Summary!$F27:$L27)-MIN(Summary!$F27:$L27)),(Summary!I27-MIN(Summary!$F27:$L27))/(MAX(Summary!$F27:$L27)-MIN(Summary!$F27:$L27)))*100))</f>
        <v/>
      </c>
      <c r="G58" s="32">
        <f>IF(OR(Summary!J27="",Summary!$O27&lt;2),"",IF(MAX(Summary!$F27:$L27)=MIN(Summary!$F27:$L27),100,IF(Summary!$E27="Lower",(MAX(Summary!$F27:$L27)-Summary!J27)/(MAX(Summary!$F27:$L27)-MIN(Summary!$F27:$L27)),(Summary!J27-MIN(Summary!$F27:$L27))/(MAX(Summary!$F27:$L27)-MIN(Summary!$F27:$L27)))*100))</f>
        <v/>
      </c>
      <c r="H58" s="32">
        <f>IF(OR(Summary!K27="",Summary!$O27&lt;2),"",IF(MAX(Summary!$F27:$L27)=MIN(Summary!$F27:$L27),100,IF(Summary!$E27="Lower",(MAX(Summary!$F27:$L27)-Summary!K27)/(MAX(Summary!$F27:$L27)-MIN(Summary!$F27:$L27)),(Summary!K27-MIN(Summary!$F27:$L27))/(MAX(Summary!$F27:$L27)-MIN(Summary!$F27:$L27)))*100))</f>
        <v/>
      </c>
      <c r="I58" s="32">
        <f>IF(OR(Summary!L27="",Summary!$O27&lt;2),"",IF(MAX(Summary!$F27:$L27)=MIN(Summary!$F27:$L27),100,IF(Summary!$E27="Lower",(MAX(Summary!$F27:$L27)-Summary!L27)/(MAX(Summary!$F27:$L27)-MIN(Summary!$F27:$L27)),(Summary!L27-MIN(Summary!$F27:$L27))/(MAX(Summary!$F27:$L27)-MIN(Summary!$F27:$L27)))*100))</f>
        <v/>
      </c>
    </row>
    <row r="59">
      <c r="A59" s="7">
        <f>Summary!A28</f>
        <v/>
      </c>
      <c r="B59" s="7">
        <f>Summary!B28</f>
        <v/>
      </c>
      <c r="C59" s="31">
        <f>IF(OR(Summary!F28="",Summary!$O28&lt;2),"",IF(MAX(Summary!$F28:$L28)=MIN(Summary!$F28:$L28),100,IF(Summary!$E28="Lower",(MAX(Summary!$F28:$L28)-Summary!F28)/(MAX(Summary!$F28:$L28)-MIN(Summary!$F28:$L28)),(Summary!F28-MIN(Summary!$F28:$L28))/(MAX(Summary!$F28:$L28)-MIN(Summary!$F28:$L28)))*100))</f>
        <v/>
      </c>
      <c r="D59" s="32">
        <f>IF(OR(Summary!G28="",Summary!$O28&lt;2),"",IF(MAX(Summary!$F28:$L28)=MIN(Summary!$F28:$L28),100,IF(Summary!$E28="Lower",(MAX(Summary!$F28:$L28)-Summary!G28)/(MAX(Summary!$F28:$L28)-MIN(Summary!$F28:$L28)),(Summary!G28-MIN(Summary!$F28:$L28))/(MAX(Summary!$F28:$L28)-MIN(Summary!$F28:$L28)))*100))</f>
        <v/>
      </c>
      <c r="E59" s="32">
        <f>IF(OR(Summary!H28="",Summary!$O28&lt;2),"",IF(MAX(Summary!$F28:$L28)=MIN(Summary!$F28:$L28),100,IF(Summary!$E28="Lower",(MAX(Summary!$F28:$L28)-Summary!H28)/(MAX(Summary!$F28:$L28)-MIN(Summary!$F28:$L28)),(Summary!H28-MIN(Summary!$F28:$L28))/(MAX(Summary!$F28:$L28)-MIN(Summary!$F28:$L28)))*100))</f>
        <v/>
      </c>
      <c r="F59" s="32">
        <f>IF(OR(Summary!I28="",Summary!$O28&lt;2),"",IF(MAX(Summary!$F28:$L28)=MIN(Summary!$F28:$L28),100,IF(Summary!$E28="Lower",(MAX(Summary!$F28:$L28)-Summary!I28)/(MAX(Summary!$F28:$L28)-MIN(Summary!$F28:$L28)),(Summary!I28-MIN(Summary!$F28:$L28))/(MAX(Summary!$F28:$L28)-MIN(Summary!$F28:$L28)))*100))</f>
        <v/>
      </c>
      <c r="G59" s="32">
        <f>IF(OR(Summary!J28="",Summary!$O28&lt;2),"",IF(MAX(Summary!$F28:$L28)=MIN(Summary!$F28:$L28),100,IF(Summary!$E28="Lower",(MAX(Summary!$F28:$L28)-Summary!J28)/(MAX(Summary!$F28:$L28)-MIN(Summary!$F28:$L28)),(Summary!J28-MIN(Summary!$F28:$L28))/(MAX(Summary!$F28:$L28)-MIN(Summary!$F28:$L28)))*100))</f>
        <v/>
      </c>
      <c r="H59" s="32">
        <f>IF(OR(Summary!K28="",Summary!$O28&lt;2),"",IF(MAX(Summary!$F28:$L28)=MIN(Summary!$F28:$L28),100,IF(Summary!$E28="Lower",(MAX(Summary!$F28:$L28)-Summary!K28)/(MAX(Summary!$F28:$L28)-MIN(Summary!$F28:$L28)),(Summary!K28-MIN(Summary!$F28:$L28))/(MAX(Summary!$F28:$L28)-MIN(Summary!$F28:$L28)))*100))</f>
        <v/>
      </c>
      <c r="I59" s="32">
        <f>IF(OR(Summary!L28="",Summary!$O28&lt;2),"",IF(MAX(Summary!$F28:$L28)=MIN(Summary!$F28:$L28),100,IF(Summary!$E28="Lower",(MAX(Summary!$F28:$L28)-Summary!L28)/(MAX(Summary!$F28:$L28)-MIN(Summary!$F28:$L28)),(Summary!L28-MIN(Summary!$F28:$L28))/(MAX(Summary!$F28:$L28)-MIN(Summary!$F28:$L28)))*100))</f>
        <v/>
      </c>
    </row>
    <row r="60">
      <c r="A60" s="7">
        <f>Summary!A29</f>
        <v/>
      </c>
      <c r="B60" s="7">
        <f>Summary!B29</f>
        <v/>
      </c>
      <c r="C60" s="31">
        <f>IF(OR(Summary!F29="",Summary!$O29&lt;2),"",IF(MAX(Summary!$F29:$L29)=MIN(Summary!$F29:$L29),100,IF(Summary!$E29="Lower",(MAX(Summary!$F29:$L29)-Summary!F29)/(MAX(Summary!$F29:$L29)-MIN(Summary!$F29:$L29)),(Summary!F29-MIN(Summary!$F29:$L29))/(MAX(Summary!$F29:$L29)-MIN(Summary!$F29:$L29)))*100))</f>
        <v/>
      </c>
      <c r="D60" s="32">
        <f>IF(OR(Summary!G29="",Summary!$O29&lt;2),"",IF(MAX(Summary!$F29:$L29)=MIN(Summary!$F29:$L29),100,IF(Summary!$E29="Lower",(MAX(Summary!$F29:$L29)-Summary!G29)/(MAX(Summary!$F29:$L29)-MIN(Summary!$F29:$L29)),(Summary!G29-MIN(Summary!$F29:$L29))/(MAX(Summary!$F29:$L29)-MIN(Summary!$F29:$L29)))*100))</f>
        <v/>
      </c>
      <c r="E60" s="32">
        <f>IF(OR(Summary!H29="",Summary!$O29&lt;2),"",IF(MAX(Summary!$F29:$L29)=MIN(Summary!$F29:$L29),100,IF(Summary!$E29="Lower",(MAX(Summary!$F29:$L29)-Summary!H29)/(MAX(Summary!$F29:$L29)-MIN(Summary!$F29:$L29)),(Summary!H29-MIN(Summary!$F29:$L29))/(MAX(Summary!$F29:$L29)-MIN(Summary!$F29:$L29)))*100))</f>
        <v/>
      </c>
      <c r="F60" s="32">
        <f>IF(OR(Summary!I29="",Summary!$O29&lt;2),"",IF(MAX(Summary!$F29:$L29)=MIN(Summary!$F29:$L29),100,IF(Summary!$E29="Lower",(MAX(Summary!$F29:$L29)-Summary!I29)/(MAX(Summary!$F29:$L29)-MIN(Summary!$F29:$L29)),(Summary!I29-MIN(Summary!$F29:$L29))/(MAX(Summary!$F29:$L29)-MIN(Summary!$F29:$L29)))*100))</f>
        <v/>
      </c>
      <c r="G60" s="32">
        <f>IF(OR(Summary!J29="",Summary!$O29&lt;2),"",IF(MAX(Summary!$F29:$L29)=MIN(Summary!$F29:$L29),100,IF(Summary!$E29="Lower",(MAX(Summary!$F29:$L29)-Summary!J29)/(MAX(Summary!$F29:$L29)-MIN(Summary!$F29:$L29)),(Summary!J29-MIN(Summary!$F29:$L29))/(MAX(Summary!$F29:$L29)-MIN(Summary!$F29:$L29)))*100))</f>
        <v/>
      </c>
      <c r="H60" s="32">
        <f>IF(OR(Summary!K29="",Summary!$O29&lt;2),"",IF(MAX(Summary!$F29:$L29)=MIN(Summary!$F29:$L29),100,IF(Summary!$E29="Lower",(MAX(Summary!$F29:$L29)-Summary!K29)/(MAX(Summary!$F29:$L29)-MIN(Summary!$F29:$L29)),(Summary!K29-MIN(Summary!$F29:$L29))/(MAX(Summary!$F29:$L29)-MIN(Summary!$F29:$L29)))*100))</f>
        <v/>
      </c>
      <c r="I60" s="32">
        <f>IF(OR(Summary!L29="",Summary!$O29&lt;2),"",IF(MAX(Summary!$F29:$L29)=MIN(Summary!$F29:$L29),100,IF(Summary!$E29="Lower",(MAX(Summary!$F29:$L29)-Summary!L29)/(MAX(Summary!$F29:$L29)-MIN(Summary!$F29:$L29)),(Summary!L29-MIN(Summary!$F29:$L29))/(MAX(Summary!$F29:$L29)-MIN(Summary!$F29:$L29)))*100))</f>
        <v/>
      </c>
    </row>
    <row r="61">
      <c r="A61" s="7">
        <f>Summary!A30</f>
        <v/>
      </c>
      <c r="B61" s="7">
        <f>Summary!B30</f>
        <v/>
      </c>
      <c r="C61" s="31">
        <f>IF(OR(Summary!F30="",Summary!$O30&lt;2),"",IF(MAX(Summary!$F30:$L30)=MIN(Summary!$F30:$L30),100,IF(Summary!$E30="Lower",(MAX(Summary!$F30:$L30)-Summary!F30)/(MAX(Summary!$F30:$L30)-MIN(Summary!$F30:$L30)),(Summary!F30-MIN(Summary!$F30:$L30))/(MAX(Summary!$F30:$L30)-MIN(Summary!$F30:$L30)))*100))</f>
        <v/>
      </c>
      <c r="D61" s="32">
        <f>IF(OR(Summary!G30="",Summary!$O30&lt;2),"",IF(MAX(Summary!$F30:$L30)=MIN(Summary!$F30:$L30),100,IF(Summary!$E30="Lower",(MAX(Summary!$F30:$L30)-Summary!G30)/(MAX(Summary!$F30:$L30)-MIN(Summary!$F30:$L30)),(Summary!G30-MIN(Summary!$F30:$L30))/(MAX(Summary!$F30:$L30)-MIN(Summary!$F30:$L30)))*100))</f>
        <v/>
      </c>
      <c r="E61" s="32">
        <f>IF(OR(Summary!H30="",Summary!$O30&lt;2),"",IF(MAX(Summary!$F30:$L30)=MIN(Summary!$F30:$L30),100,IF(Summary!$E30="Lower",(MAX(Summary!$F30:$L30)-Summary!H30)/(MAX(Summary!$F30:$L30)-MIN(Summary!$F30:$L30)),(Summary!H30-MIN(Summary!$F30:$L30))/(MAX(Summary!$F30:$L30)-MIN(Summary!$F30:$L30)))*100))</f>
        <v/>
      </c>
      <c r="F61" s="32">
        <f>IF(OR(Summary!I30="",Summary!$O30&lt;2),"",IF(MAX(Summary!$F30:$L30)=MIN(Summary!$F30:$L30),100,IF(Summary!$E30="Lower",(MAX(Summary!$F30:$L30)-Summary!I30)/(MAX(Summary!$F30:$L30)-MIN(Summary!$F30:$L30)),(Summary!I30-MIN(Summary!$F30:$L30))/(MAX(Summary!$F30:$L30)-MIN(Summary!$F30:$L30)))*100))</f>
        <v/>
      </c>
      <c r="G61" s="32">
        <f>IF(OR(Summary!J30="",Summary!$O30&lt;2),"",IF(MAX(Summary!$F30:$L30)=MIN(Summary!$F30:$L30),100,IF(Summary!$E30="Lower",(MAX(Summary!$F30:$L30)-Summary!J30)/(MAX(Summary!$F30:$L30)-MIN(Summary!$F30:$L30)),(Summary!J30-MIN(Summary!$F30:$L30))/(MAX(Summary!$F30:$L30)-MIN(Summary!$F30:$L30)))*100))</f>
        <v/>
      </c>
      <c r="H61" s="32">
        <f>IF(OR(Summary!K30="",Summary!$O30&lt;2),"",IF(MAX(Summary!$F30:$L30)=MIN(Summary!$F30:$L30),100,IF(Summary!$E30="Lower",(MAX(Summary!$F30:$L30)-Summary!K30)/(MAX(Summary!$F30:$L30)-MIN(Summary!$F30:$L30)),(Summary!K30-MIN(Summary!$F30:$L30))/(MAX(Summary!$F30:$L30)-MIN(Summary!$F30:$L30)))*100))</f>
        <v/>
      </c>
      <c r="I61" s="32">
        <f>IF(OR(Summary!L30="",Summary!$O30&lt;2),"",IF(MAX(Summary!$F30:$L30)=MIN(Summary!$F30:$L30),100,IF(Summary!$E30="Lower",(MAX(Summary!$F30:$L30)-Summary!L30)/(MAX(Summary!$F30:$L30)-MIN(Summary!$F30:$L30)),(Summary!L30-MIN(Summary!$F30:$L30))/(MAX(Summary!$F30:$L30)-MIN(Summary!$F30:$L30)))*100))</f>
        <v/>
      </c>
    </row>
    <row r="62">
      <c r="A62" s="7">
        <f>Summary!A31</f>
        <v/>
      </c>
      <c r="B62" s="7">
        <f>Summary!B31</f>
        <v/>
      </c>
      <c r="C62" s="31">
        <f>IF(OR(Summary!F31="",Summary!$O31&lt;2),"",IF(MAX(Summary!$F31:$L31)=MIN(Summary!$F31:$L31),100,IF(Summary!$E31="Lower",(MAX(Summary!$F31:$L31)-Summary!F31)/(MAX(Summary!$F31:$L31)-MIN(Summary!$F31:$L31)),(Summary!F31-MIN(Summary!$F31:$L31))/(MAX(Summary!$F31:$L31)-MIN(Summary!$F31:$L31)))*100))</f>
        <v/>
      </c>
      <c r="D62" s="32">
        <f>IF(OR(Summary!G31="",Summary!$O31&lt;2),"",IF(MAX(Summary!$F31:$L31)=MIN(Summary!$F31:$L31),100,IF(Summary!$E31="Lower",(MAX(Summary!$F31:$L31)-Summary!G31)/(MAX(Summary!$F31:$L31)-MIN(Summary!$F31:$L31)),(Summary!G31-MIN(Summary!$F31:$L31))/(MAX(Summary!$F31:$L31)-MIN(Summary!$F31:$L31)))*100))</f>
        <v/>
      </c>
      <c r="E62" s="32">
        <f>IF(OR(Summary!H31="",Summary!$O31&lt;2),"",IF(MAX(Summary!$F31:$L31)=MIN(Summary!$F31:$L31),100,IF(Summary!$E31="Lower",(MAX(Summary!$F31:$L31)-Summary!H31)/(MAX(Summary!$F31:$L31)-MIN(Summary!$F31:$L31)),(Summary!H31-MIN(Summary!$F31:$L31))/(MAX(Summary!$F31:$L31)-MIN(Summary!$F31:$L31)))*100))</f>
        <v/>
      </c>
      <c r="F62" s="32">
        <f>IF(OR(Summary!I31="",Summary!$O31&lt;2),"",IF(MAX(Summary!$F31:$L31)=MIN(Summary!$F31:$L31),100,IF(Summary!$E31="Lower",(MAX(Summary!$F31:$L31)-Summary!I31)/(MAX(Summary!$F31:$L31)-MIN(Summary!$F31:$L31)),(Summary!I31-MIN(Summary!$F31:$L31))/(MAX(Summary!$F31:$L31)-MIN(Summary!$F31:$L31)))*100))</f>
        <v/>
      </c>
      <c r="G62" s="32">
        <f>IF(OR(Summary!J31="",Summary!$O31&lt;2),"",IF(MAX(Summary!$F31:$L31)=MIN(Summary!$F31:$L31),100,IF(Summary!$E31="Lower",(MAX(Summary!$F31:$L31)-Summary!J31)/(MAX(Summary!$F31:$L31)-MIN(Summary!$F31:$L31)),(Summary!J31-MIN(Summary!$F31:$L31))/(MAX(Summary!$F31:$L31)-MIN(Summary!$F31:$L31)))*100))</f>
        <v/>
      </c>
      <c r="H62" s="32">
        <f>IF(OR(Summary!K31="",Summary!$O31&lt;2),"",IF(MAX(Summary!$F31:$L31)=MIN(Summary!$F31:$L31),100,IF(Summary!$E31="Lower",(MAX(Summary!$F31:$L31)-Summary!K31)/(MAX(Summary!$F31:$L31)-MIN(Summary!$F31:$L31)),(Summary!K31-MIN(Summary!$F31:$L31))/(MAX(Summary!$F31:$L31)-MIN(Summary!$F31:$L31)))*100))</f>
        <v/>
      </c>
      <c r="I62" s="32">
        <f>IF(OR(Summary!L31="",Summary!$O31&lt;2),"",IF(MAX(Summary!$F31:$L31)=MIN(Summary!$F31:$L31),100,IF(Summary!$E31="Lower",(MAX(Summary!$F31:$L31)-Summary!L31)/(MAX(Summary!$F31:$L31)-MIN(Summary!$F31:$L31)),(Summary!L31-MIN(Summary!$F31:$L31))/(MAX(Summary!$F31:$L31)-MIN(Summary!$F31:$L31)))*100))</f>
        <v/>
      </c>
    </row>
    <row r="63">
      <c r="A63" s="7">
        <f>Summary!A32</f>
        <v/>
      </c>
      <c r="B63" s="7">
        <f>Summary!B32</f>
        <v/>
      </c>
      <c r="C63" s="31">
        <f>IF(OR(Summary!F32="",Summary!$O32&lt;2),"",IF(MAX(Summary!$F32:$L32)=MIN(Summary!$F32:$L32),100,IF(Summary!$E32="Lower",(MAX(Summary!$F32:$L32)-Summary!F32)/(MAX(Summary!$F32:$L32)-MIN(Summary!$F32:$L32)),(Summary!F32-MIN(Summary!$F32:$L32))/(MAX(Summary!$F32:$L32)-MIN(Summary!$F32:$L32)))*100))</f>
        <v/>
      </c>
      <c r="D63" s="32">
        <f>IF(OR(Summary!G32="",Summary!$O32&lt;2),"",IF(MAX(Summary!$F32:$L32)=MIN(Summary!$F32:$L32),100,IF(Summary!$E32="Lower",(MAX(Summary!$F32:$L32)-Summary!G32)/(MAX(Summary!$F32:$L32)-MIN(Summary!$F32:$L32)),(Summary!G32-MIN(Summary!$F32:$L32))/(MAX(Summary!$F32:$L32)-MIN(Summary!$F32:$L32)))*100))</f>
        <v/>
      </c>
      <c r="E63" s="32">
        <f>IF(OR(Summary!H32="",Summary!$O32&lt;2),"",IF(MAX(Summary!$F32:$L32)=MIN(Summary!$F32:$L32),100,IF(Summary!$E32="Lower",(MAX(Summary!$F32:$L32)-Summary!H32)/(MAX(Summary!$F32:$L32)-MIN(Summary!$F32:$L32)),(Summary!H32-MIN(Summary!$F32:$L32))/(MAX(Summary!$F32:$L32)-MIN(Summary!$F32:$L32)))*100))</f>
        <v/>
      </c>
      <c r="F63" s="32">
        <f>IF(OR(Summary!I32="",Summary!$O32&lt;2),"",IF(MAX(Summary!$F32:$L32)=MIN(Summary!$F32:$L32),100,IF(Summary!$E32="Lower",(MAX(Summary!$F32:$L32)-Summary!I32)/(MAX(Summary!$F32:$L32)-MIN(Summary!$F32:$L32)),(Summary!I32-MIN(Summary!$F32:$L32))/(MAX(Summary!$F32:$L32)-MIN(Summary!$F32:$L32)))*100))</f>
        <v/>
      </c>
      <c r="G63" s="32">
        <f>IF(OR(Summary!J32="",Summary!$O32&lt;2),"",IF(MAX(Summary!$F32:$L32)=MIN(Summary!$F32:$L32),100,IF(Summary!$E32="Lower",(MAX(Summary!$F32:$L32)-Summary!J32)/(MAX(Summary!$F32:$L32)-MIN(Summary!$F32:$L32)),(Summary!J32-MIN(Summary!$F32:$L32))/(MAX(Summary!$F32:$L32)-MIN(Summary!$F32:$L32)))*100))</f>
        <v/>
      </c>
      <c r="H63" s="32">
        <f>IF(OR(Summary!K32="",Summary!$O32&lt;2),"",IF(MAX(Summary!$F32:$L32)=MIN(Summary!$F32:$L32),100,IF(Summary!$E32="Lower",(MAX(Summary!$F32:$L32)-Summary!K32)/(MAX(Summary!$F32:$L32)-MIN(Summary!$F32:$L32)),(Summary!K32-MIN(Summary!$F32:$L32))/(MAX(Summary!$F32:$L32)-MIN(Summary!$F32:$L32)))*100))</f>
        <v/>
      </c>
      <c r="I63" s="32">
        <f>IF(OR(Summary!L32="",Summary!$O32&lt;2),"",IF(MAX(Summary!$F32:$L32)=MIN(Summary!$F32:$L32),100,IF(Summary!$E32="Lower",(MAX(Summary!$F32:$L32)-Summary!L32)/(MAX(Summary!$F32:$L32)-MIN(Summary!$F32:$L32)),(Summary!L32-MIN(Summary!$F32:$L32))/(MAX(Summary!$F32:$L32)-MIN(Summary!$F32:$L32)))*100))</f>
        <v/>
      </c>
    </row>
    <row r="64">
      <c r="A64" s="7">
        <f>Summary!A33</f>
        <v/>
      </c>
      <c r="B64" s="7">
        <f>Summary!B33</f>
        <v/>
      </c>
      <c r="C64" s="31">
        <f>IF(OR(Summary!F33="",Summary!$O33&lt;2),"",IF(MAX(Summary!$F33:$L33)=MIN(Summary!$F33:$L33),100,IF(Summary!$E33="Lower",(MAX(Summary!$F33:$L33)-Summary!F33)/(MAX(Summary!$F33:$L33)-MIN(Summary!$F33:$L33)),(Summary!F33-MIN(Summary!$F33:$L33))/(MAX(Summary!$F33:$L33)-MIN(Summary!$F33:$L33)))*100))</f>
        <v/>
      </c>
      <c r="D64" s="32">
        <f>IF(OR(Summary!G33="",Summary!$O33&lt;2),"",IF(MAX(Summary!$F33:$L33)=MIN(Summary!$F33:$L33),100,IF(Summary!$E33="Lower",(MAX(Summary!$F33:$L33)-Summary!G33)/(MAX(Summary!$F33:$L33)-MIN(Summary!$F33:$L33)),(Summary!G33-MIN(Summary!$F33:$L33))/(MAX(Summary!$F33:$L33)-MIN(Summary!$F33:$L33)))*100))</f>
        <v/>
      </c>
      <c r="E64" s="32">
        <f>IF(OR(Summary!H33="",Summary!$O33&lt;2),"",IF(MAX(Summary!$F33:$L33)=MIN(Summary!$F33:$L33),100,IF(Summary!$E33="Lower",(MAX(Summary!$F33:$L33)-Summary!H33)/(MAX(Summary!$F33:$L33)-MIN(Summary!$F33:$L33)),(Summary!H33-MIN(Summary!$F33:$L33))/(MAX(Summary!$F33:$L33)-MIN(Summary!$F33:$L33)))*100))</f>
        <v/>
      </c>
      <c r="F64" s="32">
        <f>IF(OR(Summary!I33="",Summary!$O33&lt;2),"",IF(MAX(Summary!$F33:$L33)=MIN(Summary!$F33:$L33),100,IF(Summary!$E33="Lower",(MAX(Summary!$F33:$L33)-Summary!I33)/(MAX(Summary!$F33:$L33)-MIN(Summary!$F33:$L33)),(Summary!I33-MIN(Summary!$F33:$L33))/(MAX(Summary!$F33:$L33)-MIN(Summary!$F33:$L33)))*100))</f>
        <v/>
      </c>
      <c r="G64" s="32">
        <f>IF(OR(Summary!J33="",Summary!$O33&lt;2),"",IF(MAX(Summary!$F33:$L33)=MIN(Summary!$F33:$L33),100,IF(Summary!$E33="Lower",(MAX(Summary!$F33:$L33)-Summary!J33)/(MAX(Summary!$F33:$L33)-MIN(Summary!$F33:$L33)),(Summary!J33-MIN(Summary!$F33:$L33))/(MAX(Summary!$F33:$L33)-MIN(Summary!$F33:$L33)))*100))</f>
        <v/>
      </c>
      <c r="H64" s="32">
        <f>IF(OR(Summary!K33="",Summary!$O33&lt;2),"",IF(MAX(Summary!$F33:$L33)=MIN(Summary!$F33:$L33),100,IF(Summary!$E33="Lower",(MAX(Summary!$F33:$L33)-Summary!K33)/(MAX(Summary!$F33:$L33)-MIN(Summary!$F33:$L33)),(Summary!K33-MIN(Summary!$F33:$L33))/(MAX(Summary!$F33:$L33)-MIN(Summary!$F33:$L33)))*100))</f>
        <v/>
      </c>
      <c r="I64" s="32">
        <f>IF(OR(Summary!L33="",Summary!$O33&lt;2),"",IF(MAX(Summary!$F33:$L33)=MIN(Summary!$F33:$L33),100,IF(Summary!$E33="Lower",(MAX(Summary!$F33:$L33)-Summary!L33)/(MAX(Summary!$F33:$L33)-MIN(Summary!$F33:$L33)),(Summary!L33-MIN(Summary!$F33:$L33))/(MAX(Summary!$F33:$L33)-MIN(Summary!$F33:$L33)))*100))</f>
        <v/>
      </c>
    </row>
    <row r="65">
      <c r="A65" s="7">
        <f>Summary!A34</f>
        <v/>
      </c>
      <c r="B65" s="7">
        <f>Summary!B34</f>
        <v/>
      </c>
      <c r="C65" s="31">
        <f>IF(OR(Summary!F34="",Summary!$O34&lt;2),"",IF(MAX(Summary!$F34:$L34)=MIN(Summary!$F34:$L34),100,IF(Summary!$E34="Lower",(MAX(Summary!$F34:$L34)-Summary!F34)/(MAX(Summary!$F34:$L34)-MIN(Summary!$F34:$L34)),(Summary!F34-MIN(Summary!$F34:$L34))/(MAX(Summary!$F34:$L34)-MIN(Summary!$F34:$L34)))*100))</f>
        <v/>
      </c>
      <c r="D65" s="32">
        <f>IF(OR(Summary!G34="",Summary!$O34&lt;2),"",IF(MAX(Summary!$F34:$L34)=MIN(Summary!$F34:$L34),100,IF(Summary!$E34="Lower",(MAX(Summary!$F34:$L34)-Summary!G34)/(MAX(Summary!$F34:$L34)-MIN(Summary!$F34:$L34)),(Summary!G34-MIN(Summary!$F34:$L34))/(MAX(Summary!$F34:$L34)-MIN(Summary!$F34:$L34)))*100))</f>
        <v/>
      </c>
      <c r="E65" s="32">
        <f>IF(OR(Summary!H34="",Summary!$O34&lt;2),"",IF(MAX(Summary!$F34:$L34)=MIN(Summary!$F34:$L34),100,IF(Summary!$E34="Lower",(MAX(Summary!$F34:$L34)-Summary!H34)/(MAX(Summary!$F34:$L34)-MIN(Summary!$F34:$L34)),(Summary!H34-MIN(Summary!$F34:$L34))/(MAX(Summary!$F34:$L34)-MIN(Summary!$F34:$L34)))*100))</f>
        <v/>
      </c>
      <c r="F65" s="32">
        <f>IF(OR(Summary!I34="",Summary!$O34&lt;2),"",IF(MAX(Summary!$F34:$L34)=MIN(Summary!$F34:$L34),100,IF(Summary!$E34="Lower",(MAX(Summary!$F34:$L34)-Summary!I34)/(MAX(Summary!$F34:$L34)-MIN(Summary!$F34:$L34)),(Summary!I34-MIN(Summary!$F34:$L34))/(MAX(Summary!$F34:$L34)-MIN(Summary!$F34:$L34)))*100))</f>
        <v/>
      </c>
      <c r="G65" s="32">
        <f>IF(OR(Summary!J34="",Summary!$O34&lt;2),"",IF(MAX(Summary!$F34:$L34)=MIN(Summary!$F34:$L34),100,IF(Summary!$E34="Lower",(MAX(Summary!$F34:$L34)-Summary!J34)/(MAX(Summary!$F34:$L34)-MIN(Summary!$F34:$L34)),(Summary!J34-MIN(Summary!$F34:$L34))/(MAX(Summary!$F34:$L34)-MIN(Summary!$F34:$L34)))*100))</f>
        <v/>
      </c>
      <c r="H65" s="32">
        <f>IF(OR(Summary!K34="",Summary!$O34&lt;2),"",IF(MAX(Summary!$F34:$L34)=MIN(Summary!$F34:$L34),100,IF(Summary!$E34="Lower",(MAX(Summary!$F34:$L34)-Summary!K34)/(MAX(Summary!$F34:$L34)-MIN(Summary!$F34:$L34)),(Summary!K34-MIN(Summary!$F34:$L34))/(MAX(Summary!$F34:$L34)-MIN(Summary!$F34:$L34)))*100))</f>
        <v/>
      </c>
      <c r="I65" s="32">
        <f>IF(OR(Summary!L34="",Summary!$O34&lt;2),"",IF(MAX(Summary!$F34:$L34)=MIN(Summary!$F34:$L34),100,IF(Summary!$E34="Lower",(MAX(Summary!$F34:$L34)-Summary!L34)/(MAX(Summary!$F34:$L34)-MIN(Summary!$F34:$L34)),(Summary!L34-MIN(Summary!$F34:$L34))/(MAX(Summary!$F34:$L34)-MIN(Summary!$F34:$L34)))*100))</f>
        <v/>
      </c>
    </row>
    <row r="66">
      <c r="A66" s="7">
        <f>Summary!A35</f>
        <v/>
      </c>
      <c r="B66" s="7">
        <f>Summary!B35</f>
        <v/>
      </c>
      <c r="C66" s="31">
        <f>IF(OR(Summary!F35="",Summary!$O35&lt;2),"",IF(MAX(Summary!$F35:$L35)=MIN(Summary!$F35:$L35),100,IF(Summary!$E35="Lower",(MAX(Summary!$F35:$L35)-Summary!F35)/(MAX(Summary!$F35:$L35)-MIN(Summary!$F35:$L35)),(Summary!F35-MIN(Summary!$F35:$L35))/(MAX(Summary!$F35:$L35)-MIN(Summary!$F35:$L35)))*100))</f>
        <v/>
      </c>
      <c r="D66" s="32">
        <f>IF(OR(Summary!G35="",Summary!$O35&lt;2),"",IF(MAX(Summary!$F35:$L35)=MIN(Summary!$F35:$L35),100,IF(Summary!$E35="Lower",(MAX(Summary!$F35:$L35)-Summary!G35)/(MAX(Summary!$F35:$L35)-MIN(Summary!$F35:$L35)),(Summary!G35-MIN(Summary!$F35:$L35))/(MAX(Summary!$F35:$L35)-MIN(Summary!$F35:$L35)))*100))</f>
        <v/>
      </c>
      <c r="E66" s="32">
        <f>IF(OR(Summary!H35="",Summary!$O35&lt;2),"",IF(MAX(Summary!$F35:$L35)=MIN(Summary!$F35:$L35),100,IF(Summary!$E35="Lower",(MAX(Summary!$F35:$L35)-Summary!H35)/(MAX(Summary!$F35:$L35)-MIN(Summary!$F35:$L35)),(Summary!H35-MIN(Summary!$F35:$L35))/(MAX(Summary!$F35:$L35)-MIN(Summary!$F35:$L35)))*100))</f>
        <v/>
      </c>
      <c r="F66" s="32">
        <f>IF(OR(Summary!I35="",Summary!$O35&lt;2),"",IF(MAX(Summary!$F35:$L35)=MIN(Summary!$F35:$L35),100,IF(Summary!$E35="Lower",(MAX(Summary!$F35:$L35)-Summary!I35)/(MAX(Summary!$F35:$L35)-MIN(Summary!$F35:$L35)),(Summary!I35-MIN(Summary!$F35:$L35))/(MAX(Summary!$F35:$L35)-MIN(Summary!$F35:$L35)))*100))</f>
        <v/>
      </c>
      <c r="G66" s="32">
        <f>IF(OR(Summary!J35="",Summary!$O35&lt;2),"",IF(MAX(Summary!$F35:$L35)=MIN(Summary!$F35:$L35),100,IF(Summary!$E35="Lower",(MAX(Summary!$F35:$L35)-Summary!J35)/(MAX(Summary!$F35:$L35)-MIN(Summary!$F35:$L35)),(Summary!J35-MIN(Summary!$F35:$L35))/(MAX(Summary!$F35:$L35)-MIN(Summary!$F35:$L35)))*100))</f>
        <v/>
      </c>
      <c r="H66" s="32">
        <f>IF(OR(Summary!K35="",Summary!$O35&lt;2),"",IF(MAX(Summary!$F35:$L35)=MIN(Summary!$F35:$L35),100,IF(Summary!$E35="Lower",(MAX(Summary!$F35:$L35)-Summary!K35)/(MAX(Summary!$F35:$L35)-MIN(Summary!$F35:$L35)),(Summary!K35-MIN(Summary!$F35:$L35))/(MAX(Summary!$F35:$L35)-MIN(Summary!$F35:$L35)))*100))</f>
        <v/>
      </c>
      <c r="I66" s="32">
        <f>IF(OR(Summary!L35="",Summary!$O35&lt;2),"",IF(MAX(Summary!$F35:$L35)=MIN(Summary!$F35:$L35),100,IF(Summary!$E35="Lower",(MAX(Summary!$F35:$L35)-Summary!L35)/(MAX(Summary!$F35:$L35)-MIN(Summary!$F35:$L35)),(Summary!L35-MIN(Summary!$F35:$L35))/(MAX(Summary!$F35:$L35)-MIN(Summary!$F35:$L35)))*100))</f>
        <v/>
      </c>
    </row>
    <row r="67">
      <c r="A67" s="7">
        <f>Summary!A36</f>
        <v/>
      </c>
      <c r="B67" s="7">
        <f>Summary!B36</f>
        <v/>
      </c>
      <c r="C67" s="31">
        <f>IF(OR(Summary!F36="",Summary!$O36&lt;2),"",IF(MAX(Summary!$F36:$L36)=MIN(Summary!$F36:$L36),100,IF(Summary!$E36="Lower",(MAX(Summary!$F36:$L36)-Summary!F36)/(MAX(Summary!$F36:$L36)-MIN(Summary!$F36:$L36)),(Summary!F36-MIN(Summary!$F36:$L36))/(MAX(Summary!$F36:$L36)-MIN(Summary!$F36:$L36)))*100))</f>
        <v/>
      </c>
      <c r="D67" s="32">
        <f>IF(OR(Summary!G36="",Summary!$O36&lt;2),"",IF(MAX(Summary!$F36:$L36)=MIN(Summary!$F36:$L36),100,IF(Summary!$E36="Lower",(MAX(Summary!$F36:$L36)-Summary!G36)/(MAX(Summary!$F36:$L36)-MIN(Summary!$F36:$L36)),(Summary!G36-MIN(Summary!$F36:$L36))/(MAX(Summary!$F36:$L36)-MIN(Summary!$F36:$L36)))*100))</f>
        <v/>
      </c>
      <c r="E67" s="32">
        <f>IF(OR(Summary!H36="",Summary!$O36&lt;2),"",IF(MAX(Summary!$F36:$L36)=MIN(Summary!$F36:$L36),100,IF(Summary!$E36="Lower",(MAX(Summary!$F36:$L36)-Summary!H36)/(MAX(Summary!$F36:$L36)-MIN(Summary!$F36:$L36)),(Summary!H36-MIN(Summary!$F36:$L36))/(MAX(Summary!$F36:$L36)-MIN(Summary!$F36:$L36)))*100))</f>
        <v/>
      </c>
      <c r="F67" s="32">
        <f>IF(OR(Summary!I36="",Summary!$O36&lt;2),"",IF(MAX(Summary!$F36:$L36)=MIN(Summary!$F36:$L36),100,IF(Summary!$E36="Lower",(MAX(Summary!$F36:$L36)-Summary!I36)/(MAX(Summary!$F36:$L36)-MIN(Summary!$F36:$L36)),(Summary!I36-MIN(Summary!$F36:$L36))/(MAX(Summary!$F36:$L36)-MIN(Summary!$F36:$L36)))*100))</f>
        <v/>
      </c>
      <c r="G67" s="32">
        <f>IF(OR(Summary!J36="",Summary!$O36&lt;2),"",IF(MAX(Summary!$F36:$L36)=MIN(Summary!$F36:$L36),100,IF(Summary!$E36="Lower",(MAX(Summary!$F36:$L36)-Summary!J36)/(MAX(Summary!$F36:$L36)-MIN(Summary!$F36:$L36)),(Summary!J36-MIN(Summary!$F36:$L36))/(MAX(Summary!$F36:$L36)-MIN(Summary!$F36:$L36)))*100))</f>
        <v/>
      </c>
      <c r="H67" s="32">
        <f>IF(OR(Summary!K36="",Summary!$O36&lt;2),"",IF(MAX(Summary!$F36:$L36)=MIN(Summary!$F36:$L36),100,IF(Summary!$E36="Lower",(MAX(Summary!$F36:$L36)-Summary!K36)/(MAX(Summary!$F36:$L36)-MIN(Summary!$F36:$L36)),(Summary!K36-MIN(Summary!$F36:$L36))/(MAX(Summary!$F36:$L36)-MIN(Summary!$F36:$L36)))*100))</f>
        <v/>
      </c>
      <c r="I67" s="32">
        <f>IF(OR(Summary!L36="",Summary!$O36&lt;2),"",IF(MAX(Summary!$F36:$L36)=MIN(Summary!$F36:$L36),100,IF(Summary!$E36="Lower",(MAX(Summary!$F36:$L36)-Summary!L36)/(MAX(Summary!$F36:$L36)-MIN(Summary!$F36:$L36)),(Summary!L36-MIN(Summary!$F36:$L36))/(MAX(Summary!$F36:$L36)-MIN(Summary!$F36:$L36)))*100))</f>
        <v/>
      </c>
    </row>
    <row r="68">
      <c r="A68" s="7">
        <f>Summary!A37</f>
        <v/>
      </c>
      <c r="B68" s="7">
        <f>Summary!B37</f>
        <v/>
      </c>
      <c r="C68" s="31">
        <f>IF(OR(Summary!F37="",Summary!$O37&lt;2),"",IF(MAX(Summary!$F37:$L37)=MIN(Summary!$F37:$L37),100,IF(Summary!$E37="Lower",(MAX(Summary!$F37:$L37)-Summary!F37)/(MAX(Summary!$F37:$L37)-MIN(Summary!$F37:$L37)),(Summary!F37-MIN(Summary!$F37:$L37))/(MAX(Summary!$F37:$L37)-MIN(Summary!$F37:$L37)))*100))</f>
        <v/>
      </c>
      <c r="D68" s="32">
        <f>IF(OR(Summary!G37="",Summary!$O37&lt;2),"",IF(MAX(Summary!$F37:$L37)=MIN(Summary!$F37:$L37),100,IF(Summary!$E37="Lower",(MAX(Summary!$F37:$L37)-Summary!G37)/(MAX(Summary!$F37:$L37)-MIN(Summary!$F37:$L37)),(Summary!G37-MIN(Summary!$F37:$L37))/(MAX(Summary!$F37:$L37)-MIN(Summary!$F37:$L37)))*100))</f>
        <v/>
      </c>
      <c r="E68" s="32">
        <f>IF(OR(Summary!H37="",Summary!$O37&lt;2),"",IF(MAX(Summary!$F37:$L37)=MIN(Summary!$F37:$L37),100,IF(Summary!$E37="Lower",(MAX(Summary!$F37:$L37)-Summary!H37)/(MAX(Summary!$F37:$L37)-MIN(Summary!$F37:$L37)),(Summary!H37-MIN(Summary!$F37:$L37))/(MAX(Summary!$F37:$L37)-MIN(Summary!$F37:$L37)))*100))</f>
        <v/>
      </c>
      <c r="F68" s="32">
        <f>IF(OR(Summary!I37="",Summary!$O37&lt;2),"",IF(MAX(Summary!$F37:$L37)=MIN(Summary!$F37:$L37),100,IF(Summary!$E37="Lower",(MAX(Summary!$F37:$L37)-Summary!I37)/(MAX(Summary!$F37:$L37)-MIN(Summary!$F37:$L37)),(Summary!I37-MIN(Summary!$F37:$L37))/(MAX(Summary!$F37:$L37)-MIN(Summary!$F37:$L37)))*100))</f>
        <v/>
      </c>
      <c r="G68" s="32">
        <f>IF(OR(Summary!J37="",Summary!$O37&lt;2),"",IF(MAX(Summary!$F37:$L37)=MIN(Summary!$F37:$L37),100,IF(Summary!$E37="Lower",(MAX(Summary!$F37:$L37)-Summary!J37)/(MAX(Summary!$F37:$L37)-MIN(Summary!$F37:$L37)),(Summary!J37-MIN(Summary!$F37:$L37))/(MAX(Summary!$F37:$L37)-MIN(Summary!$F37:$L37)))*100))</f>
        <v/>
      </c>
      <c r="H68" s="32">
        <f>IF(OR(Summary!K37="",Summary!$O37&lt;2),"",IF(MAX(Summary!$F37:$L37)=MIN(Summary!$F37:$L37),100,IF(Summary!$E37="Lower",(MAX(Summary!$F37:$L37)-Summary!K37)/(MAX(Summary!$F37:$L37)-MIN(Summary!$F37:$L37)),(Summary!K37-MIN(Summary!$F37:$L37))/(MAX(Summary!$F37:$L37)-MIN(Summary!$F37:$L37)))*100))</f>
        <v/>
      </c>
      <c r="I68" s="32">
        <f>IF(OR(Summary!L37="",Summary!$O37&lt;2),"",IF(MAX(Summary!$F37:$L37)=MIN(Summary!$F37:$L37),100,IF(Summary!$E37="Lower",(MAX(Summary!$F37:$L37)-Summary!L37)/(MAX(Summary!$F37:$L37)-MIN(Summary!$F37:$L37)),(Summary!L37-MIN(Summary!$F37:$L37))/(MAX(Summary!$F37:$L37)-MIN(Summary!$F37:$L37)))*100))</f>
        <v/>
      </c>
    </row>
    <row r="69">
      <c r="A69" s="7">
        <f>Summary!A38</f>
        <v/>
      </c>
      <c r="B69" s="7">
        <f>Summary!B38</f>
        <v/>
      </c>
      <c r="C69" s="31">
        <f>IF(OR(Summary!F38="",Summary!$O38&lt;2),"",IF(MAX(Summary!$F38:$L38)=MIN(Summary!$F38:$L38),100,IF(Summary!$E38="Lower",(MAX(Summary!$F38:$L38)-Summary!F38)/(MAX(Summary!$F38:$L38)-MIN(Summary!$F38:$L38)),(Summary!F38-MIN(Summary!$F38:$L38))/(MAX(Summary!$F38:$L38)-MIN(Summary!$F38:$L38)))*100))</f>
        <v/>
      </c>
      <c r="D69" s="32">
        <f>IF(OR(Summary!G38="",Summary!$O38&lt;2),"",IF(MAX(Summary!$F38:$L38)=MIN(Summary!$F38:$L38),100,IF(Summary!$E38="Lower",(MAX(Summary!$F38:$L38)-Summary!G38)/(MAX(Summary!$F38:$L38)-MIN(Summary!$F38:$L38)),(Summary!G38-MIN(Summary!$F38:$L38))/(MAX(Summary!$F38:$L38)-MIN(Summary!$F38:$L38)))*100))</f>
        <v/>
      </c>
      <c r="E69" s="32">
        <f>IF(OR(Summary!H38="",Summary!$O38&lt;2),"",IF(MAX(Summary!$F38:$L38)=MIN(Summary!$F38:$L38),100,IF(Summary!$E38="Lower",(MAX(Summary!$F38:$L38)-Summary!H38)/(MAX(Summary!$F38:$L38)-MIN(Summary!$F38:$L38)),(Summary!H38-MIN(Summary!$F38:$L38))/(MAX(Summary!$F38:$L38)-MIN(Summary!$F38:$L38)))*100))</f>
        <v/>
      </c>
      <c r="F69" s="32">
        <f>IF(OR(Summary!I38="",Summary!$O38&lt;2),"",IF(MAX(Summary!$F38:$L38)=MIN(Summary!$F38:$L38),100,IF(Summary!$E38="Lower",(MAX(Summary!$F38:$L38)-Summary!I38)/(MAX(Summary!$F38:$L38)-MIN(Summary!$F38:$L38)),(Summary!I38-MIN(Summary!$F38:$L38))/(MAX(Summary!$F38:$L38)-MIN(Summary!$F38:$L38)))*100))</f>
        <v/>
      </c>
      <c r="G69" s="32">
        <f>IF(OR(Summary!J38="",Summary!$O38&lt;2),"",IF(MAX(Summary!$F38:$L38)=MIN(Summary!$F38:$L38),100,IF(Summary!$E38="Lower",(MAX(Summary!$F38:$L38)-Summary!J38)/(MAX(Summary!$F38:$L38)-MIN(Summary!$F38:$L38)),(Summary!J38-MIN(Summary!$F38:$L38))/(MAX(Summary!$F38:$L38)-MIN(Summary!$F38:$L38)))*100))</f>
        <v/>
      </c>
      <c r="H69" s="32">
        <f>IF(OR(Summary!K38="",Summary!$O38&lt;2),"",IF(MAX(Summary!$F38:$L38)=MIN(Summary!$F38:$L38),100,IF(Summary!$E38="Lower",(MAX(Summary!$F38:$L38)-Summary!K38)/(MAX(Summary!$F38:$L38)-MIN(Summary!$F38:$L38)),(Summary!K38-MIN(Summary!$F38:$L38))/(MAX(Summary!$F38:$L38)-MIN(Summary!$F38:$L38)))*100))</f>
        <v/>
      </c>
      <c r="I69" s="32">
        <f>IF(OR(Summary!L38="",Summary!$O38&lt;2),"",IF(MAX(Summary!$F38:$L38)=MIN(Summary!$F38:$L38),100,IF(Summary!$E38="Lower",(MAX(Summary!$F38:$L38)-Summary!L38)/(MAX(Summary!$F38:$L38)-MIN(Summary!$F38:$L38)),(Summary!L38-MIN(Summary!$F38:$L38))/(MAX(Summary!$F38:$L38)-MIN(Summary!$F38:$L38)))*100))</f>
        <v/>
      </c>
    </row>
    <row r="70">
      <c r="A70" s="7">
        <f>Summary!A39</f>
        <v/>
      </c>
      <c r="B70" s="7">
        <f>Summary!B39</f>
        <v/>
      </c>
      <c r="C70" s="31">
        <f>IF(OR(Summary!F39="",Summary!$O39&lt;2),"",IF(MAX(Summary!$F39:$L39)=MIN(Summary!$F39:$L39),100,IF(Summary!$E39="Lower",(MAX(Summary!$F39:$L39)-Summary!F39)/(MAX(Summary!$F39:$L39)-MIN(Summary!$F39:$L39)),(Summary!F39-MIN(Summary!$F39:$L39))/(MAX(Summary!$F39:$L39)-MIN(Summary!$F39:$L39)))*100))</f>
        <v/>
      </c>
      <c r="D70" s="32">
        <f>IF(OR(Summary!G39="",Summary!$O39&lt;2),"",IF(MAX(Summary!$F39:$L39)=MIN(Summary!$F39:$L39),100,IF(Summary!$E39="Lower",(MAX(Summary!$F39:$L39)-Summary!G39)/(MAX(Summary!$F39:$L39)-MIN(Summary!$F39:$L39)),(Summary!G39-MIN(Summary!$F39:$L39))/(MAX(Summary!$F39:$L39)-MIN(Summary!$F39:$L39)))*100))</f>
        <v/>
      </c>
      <c r="E70" s="32">
        <f>IF(OR(Summary!H39="",Summary!$O39&lt;2),"",IF(MAX(Summary!$F39:$L39)=MIN(Summary!$F39:$L39),100,IF(Summary!$E39="Lower",(MAX(Summary!$F39:$L39)-Summary!H39)/(MAX(Summary!$F39:$L39)-MIN(Summary!$F39:$L39)),(Summary!H39-MIN(Summary!$F39:$L39))/(MAX(Summary!$F39:$L39)-MIN(Summary!$F39:$L39)))*100))</f>
        <v/>
      </c>
      <c r="F70" s="32">
        <f>IF(OR(Summary!I39="",Summary!$O39&lt;2),"",IF(MAX(Summary!$F39:$L39)=MIN(Summary!$F39:$L39),100,IF(Summary!$E39="Lower",(MAX(Summary!$F39:$L39)-Summary!I39)/(MAX(Summary!$F39:$L39)-MIN(Summary!$F39:$L39)),(Summary!I39-MIN(Summary!$F39:$L39))/(MAX(Summary!$F39:$L39)-MIN(Summary!$F39:$L39)))*100))</f>
        <v/>
      </c>
      <c r="G70" s="32">
        <f>IF(OR(Summary!J39="",Summary!$O39&lt;2),"",IF(MAX(Summary!$F39:$L39)=MIN(Summary!$F39:$L39),100,IF(Summary!$E39="Lower",(MAX(Summary!$F39:$L39)-Summary!J39)/(MAX(Summary!$F39:$L39)-MIN(Summary!$F39:$L39)),(Summary!J39-MIN(Summary!$F39:$L39))/(MAX(Summary!$F39:$L39)-MIN(Summary!$F39:$L39)))*100))</f>
        <v/>
      </c>
      <c r="H70" s="32">
        <f>IF(OR(Summary!K39="",Summary!$O39&lt;2),"",IF(MAX(Summary!$F39:$L39)=MIN(Summary!$F39:$L39),100,IF(Summary!$E39="Lower",(MAX(Summary!$F39:$L39)-Summary!K39)/(MAX(Summary!$F39:$L39)-MIN(Summary!$F39:$L39)),(Summary!K39-MIN(Summary!$F39:$L39))/(MAX(Summary!$F39:$L39)-MIN(Summary!$F39:$L39)))*100))</f>
        <v/>
      </c>
      <c r="I70" s="32">
        <f>IF(OR(Summary!L39="",Summary!$O39&lt;2),"",IF(MAX(Summary!$F39:$L39)=MIN(Summary!$F39:$L39),100,IF(Summary!$E39="Lower",(MAX(Summary!$F39:$L39)-Summary!L39)/(MAX(Summary!$F39:$L39)-MIN(Summary!$F39:$L39)),(Summary!L39-MIN(Summary!$F39:$L39))/(MAX(Summary!$F39:$L39)-MIN(Summary!$F39:$L39)))*100))</f>
        <v/>
      </c>
    </row>
    <row r="71">
      <c r="A71" s="7">
        <f>Summary!A40</f>
        <v/>
      </c>
      <c r="B71" s="7">
        <f>Summary!B40</f>
        <v/>
      </c>
      <c r="C71" s="31">
        <f>IF(OR(Summary!F40="",Summary!$O40&lt;2),"",IF(MAX(Summary!$F40:$L40)=MIN(Summary!$F40:$L40),100,IF(Summary!$E40="Lower",(MAX(Summary!$F40:$L40)-Summary!F40)/(MAX(Summary!$F40:$L40)-MIN(Summary!$F40:$L40)),(Summary!F40-MIN(Summary!$F40:$L40))/(MAX(Summary!$F40:$L40)-MIN(Summary!$F40:$L40)))*100))</f>
        <v/>
      </c>
      <c r="D71" s="32">
        <f>IF(OR(Summary!G40="",Summary!$O40&lt;2),"",IF(MAX(Summary!$F40:$L40)=MIN(Summary!$F40:$L40),100,IF(Summary!$E40="Lower",(MAX(Summary!$F40:$L40)-Summary!G40)/(MAX(Summary!$F40:$L40)-MIN(Summary!$F40:$L40)),(Summary!G40-MIN(Summary!$F40:$L40))/(MAX(Summary!$F40:$L40)-MIN(Summary!$F40:$L40)))*100))</f>
        <v/>
      </c>
      <c r="E71" s="32">
        <f>IF(OR(Summary!H40="",Summary!$O40&lt;2),"",IF(MAX(Summary!$F40:$L40)=MIN(Summary!$F40:$L40),100,IF(Summary!$E40="Lower",(MAX(Summary!$F40:$L40)-Summary!H40)/(MAX(Summary!$F40:$L40)-MIN(Summary!$F40:$L40)),(Summary!H40-MIN(Summary!$F40:$L40))/(MAX(Summary!$F40:$L40)-MIN(Summary!$F40:$L40)))*100))</f>
        <v/>
      </c>
      <c r="F71" s="32">
        <f>IF(OR(Summary!I40="",Summary!$O40&lt;2),"",IF(MAX(Summary!$F40:$L40)=MIN(Summary!$F40:$L40),100,IF(Summary!$E40="Lower",(MAX(Summary!$F40:$L40)-Summary!I40)/(MAX(Summary!$F40:$L40)-MIN(Summary!$F40:$L40)),(Summary!I40-MIN(Summary!$F40:$L40))/(MAX(Summary!$F40:$L40)-MIN(Summary!$F40:$L40)))*100))</f>
        <v/>
      </c>
      <c r="G71" s="32">
        <f>IF(OR(Summary!J40="",Summary!$O40&lt;2),"",IF(MAX(Summary!$F40:$L40)=MIN(Summary!$F40:$L40),100,IF(Summary!$E40="Lower",(MAX(Summary!$F40:$L40)-Summary!J40)/(MAX(Summary!$F40:$L40)-MIN(Summary!$F40:$L40)),(Summary!J40-MIN(Summary!$F40:$L40))/(MAX(Summary!$F40:$L40)-MIN(Summary!$F40:$L40)))*100))</f>
        <v/>
      </c>
      <c r="H71" s="32">
        <f>IF(OR(Summary!K40="",Summary!$O40&lt;2),"",IF(MAX(Summary!$F40:$L40)=MIN(Summary!$F40:$L40),100,IF(Summary!$E40="Lower",(MAX(Summary!$F40:$L40)-Summary!K40)/(MAX(Summary!$F40:$L40)-MIN(Summary!$F40:$L40)),(Summary!K40-MIN(Summary!$F40:$L40))/(MAX(Summary!$F40:$L40)-MIN(Summary!$F40:$L40)))*100))</f>
        <v/>
      </c>
      <c r="I71" s="32">
        <f>IF(OR(Summary!L40="",Summary!$O40&lt;2),"",IF(MAX(Summary!$F40:$L40)=MIN(Summary!$F40:$L40),100,IF(Summary!$E40="Lower",(MAX(Summary!$F40:$L40)-Summary!L40)/(MAX(Summary!$F40:$L40)-MIN(Summary!$F40:$L40)),(Summary!L40-MIN(Summary!$F40:$L40))/(MAX(Summary!$F40:$L40)-MIN(Summary!$F40:$L40)))*100))</f>
        <v/>
      </c>
    </row>
    <row r="72">
      <c r="A72" s="7">
        <f>Summary!A41</f>
        <v/>
      </c>
      <c r="B72" s="7">
        <f>Summary!B41</f>
        <v/>
      </c>
      <c r="C72" s="31">
        <f>IF(OR(Summary!F41="",Summary!$O41&lt;2),"",IF(MAX(Summary!$F41:$L41)=MIN(Summary!$F41:$L41),100,IF(Summary!$E41="Lower",(MAX(Summary!$F41:$L41)-Summary!F41)/(MAX(Summary!$F41:$L41)-MIN(Summary!$F41:$L41)),(Summary!F41-MIN(Summary!$F41:$L41))/(MAX(Summary!$F41:$L41)-MIN(Summary!$F41:$L41)))*100))</f>
        <v/>
      </c>
      <c r="D72" s="32">
        <f>IF(OR(Summary!G41="",Summary!$O41&lt;2),"",IF(MAX(Summary!$F41:$L41)=MIN(Summary!$F41:$L41),100,IF(Summary!$E41="Lower",(MAX(Summary!$F41:$L41)-Summary!G41)/(MAX(Summary!$F41:$L41)-MIN(Summary!$F41:$L41)),(Summary!G41-MIN(Summary!$F41:$L41))/(MAX(Summary!$F41:$L41)-MIN(Summary!$F41:$L41)))*100))</f>
        <v/>
      </c>
      <c r="E72" s="32">
        <f>IF(OR(Summary!H41="",Summary!$O41&lt;2),"",IF(MAX(Summary!$F41:$L41)=MIN(Summary!$F41:$L41),100,IF(Summary!$E41="Lower",(MAX(Summary!$F41:$L41)-Summary!H41)/(MAX(Summary!$F41:$L41)-MIN(Summary!$F41:$L41)),(Summary!H41-MIN(Summary!$F41:$L41))/(MAX(Summary!$F41:$L41)-MIN(Summary!$F41:$L41)))*100))</f>
        <v/>
      </c>
      <c r="F72" s="32">
        <f>IF(OR(Summary!I41="",Summary!$O41&lt;2),"",IF(MAX(Summary!$F41:$L41)=MIN(Summary!$F41:$L41),100,IF(Summary!$E41="Lower",(MAX(Summary!$F41:$L41)-Summary!I41)/(MAX(Summary!$F41:$L41)-MIN(Summary!$F41:$L41)),(Summary!I41-MIN(Summary!$F41:$L41))/(MAX(Summary!$F41:$L41)-MIN(Summary!$F41:$L41)))*100))</f>
        <v/>
      </c>
      <c r="G72" s="32">
        <f>IF(OR(Summary!J41="",Summary!$O41&lt;2),"",IF(MAX(Summary!$F41:$L41)=MIN(Summary!$F41:$L41),100,IF(Summary!$E41="Lower",(MAX(Summary!$F41:$L41)-Summary!J41)/(MAX(Summary!$F41:$L41)-MIN(Summary!$F41:$L41)),(Summary!J41-MIN(Summary!$F41:$L41))/(MAX(Summary!$F41:$L41)-MIN(Summary!$F41:$L41)))*100))</f>
        <v/>
      </c>
      <c r="H72" s="32">
        <f>IF(OR(Summary!K41="",Summary!$O41&lt;2),"",IF(MAX(Summary!$F41:$L41)=MIN(Summary!$F41:$L41),100,IF(Summary!$E41="Lower",(MAX(Summary!$F41:$L41)-Summary!K41)/(MAX(Summary!$F41:$L41)-MIN(Summary!$F41:$L41)),(Summary!K41-MIN(Summary!$F41:$L41))/(MAX(Summary!$F41:$L41)-MIN(Summary!$F41:$L41)))*100))</f>
        <v/>
      </c>
      <c r="I72" s="32">
        <f>IF(OR(Summary!L41="",Summary!$O41&lt;2),"",IF(MAX(Summary!$F41:$L41)=MIN(Summary!$F41:$L41),100,IF(Summary!$E41="Lower",(MAX(Summary!$F41:$L41)-Summary!L41)/(MAX(Summary!$F41:$L41)-MIN(Summary!$F41:$L41)),(Summary!L41-MIN(Summary!$F41:$L41))/(MAX(Summary!$F41:$L41)-MIN(Summary!$F41:$L41)))*100))</f>
        <v/>
      </c>
    </row>
    <row r="73">
      <c r="A73" s="7">
        <f>Summary!A42</f>
        <v/>
      </c>
      <c r="B73" s="7">
        <f>Summary!B42</f>
        <v/>
      </c>
      <c r="C73" s="31">
        <f>IF(OR(Summary!F42="",Summary!$O42&lt;2),"",IF(MAX(Summary!$F42:$L42)=MIN(Summary!$F42:$L42),100,IF(Summary!$E42="Lower",(MAX(Summary!$F42:$L42)-Summary!F42)/(MAX(Summary!$F42:$L42)-MIN(Summary!$F42:$L42)),(Summary!F42-MIN(Summary!$F42:$L42))/(MAX(Summary!$F42:$L42)-MIN(Summary!$F42:$L42)))*100))</f>
        <v/>
      </c>
      <c r="D73" s="32">
        <f>IF(OR(Summary!G42="",Summary!$O42&lt;2),"",IF(MAX(Summary!$F42:$L42)=MIN(Summary!$F42:$L42),100,IF(Summary!$E42="Lower",(MAX(Summary!$F42:$L42)-Summary!G42)/(MAX(Summary!$F42:$L42)-MIN(Summary!$F42:$L42)),(Summary!G42-MIN(Summary!$F42:$L42))/(MAX(Summary!$F42:$L42)-MIN(Summary!$F42:$L42)))*100))</f>
        <v/>
      </c>
      <c r="E73" s="32">
        <f>IF(OR(Summary!H42="",Summary!$O42&lt;2),"",IF(MAX(Summary!$F42:$L42)=MIN(Summary!$F42:$L42),100,IF(Summary!$E42="Lower",(MAX(Summary!$F42:$L42)-Summary!H42)/(MAX(Summary!$F42:$L42)-MIN(Summary!$F42:$L42)),(Summary!H42-MIN(Summary!$F42:$L42))/(MAX(Summary!$F42:$L42)-MIN(Summary!$F42:$L42)))*100))</f>
        <v/>
      </c>
      <c r="F73" s="32">
        <f>IF(OR(Summary!I42="",Summary!$O42&lt;2),"",IF(MAX(Summary!$F42:$L42)=MIN(Summary!$F42:$L42),100,IF(Summary!$E42="Lower",(MAX(Summary!$F42:$L42)-Summary!I42)/(MAX(Summary!$F42:$L42)-MIN(Summary!$F42:$L42)),(Summary!I42-MIN(Summary!$F42:$L42))/(MAX(Summary!$F42:$L42)-MIN(Summary!$F42:$L42)))*100))</f>
        <v/>
      </c>
      <c r="G73" s="32">
        <f>IF(OR(Summary!J42="",Summary!$O42&lt;2),"",IF(MAX(Summary!$F42:$L42)=MIN(Summary!$F42:$L42),100,IF(Summary!$E42="Lower",(MAX(Summary!$F42:$L42)-Summary!J42)/(MAX(Summary!$F42:$L42)-MIN(Summary!$F42:$L42)),(Summary!J42-MIN(Summary!$F42:$L42))/(MAX(Summary!$F42:$L42)-MIN(Summary!$F42:$L42)))*100))</f>
        <v/>
      </c>
      <c r="H73" s="32">
        <f>IF(OR(Summary!K42="",Summary!$O42&lt;2),"",IF(MAX(Summary!$F42:$L42)=MIN(Summary!$F42:$L42),100,IF(Summary!$E42="Lower",(MAX(Summary!$F42:$L42)-Summary!K42)/(MAX(Summary!$F42:$L42)-MIN(Summary!$F42:$L42)),(Summary!K42-MIN(Summary!$F42:$L42))/(MAX(Summary!$F42:$L42)-MIN(Summary!$F42:$L42)))*100))</f>
        <v/>
      </c>
      <c r="I73" s="32">
        <f>IF(OR(Summary!L42="",Summary!$O42&lt;2),"",IF(MAX(Summary!$F42:$L42)=MIN(Summary!$F42:$L42),100,IF(Summary!$E42="Lower",(MAX(Summary!$F42:$L42)-Summary!L42)/(MAX(Summary!$F42:$L42)-MIN(Summary!$F42:$L42)),(Summary!L42-MIN(Summary!$F42:$L42))/(MAX(Summary!$F42:$L42)-MIN(Summary!$F42:$L42)))*100))</f>
        <v/>
      </c>
    </row>
    <row r="74">
      <c r="A74" s="7">
        <f>Summary!A43</f>
        <v/>
      </c>
      <c r="B74" s="7">
        <f>Summary!B43</f>
        <v/>
      </c>
      <c r="C74" s="31">
        <f>IF(OR(Summary!F43="",Summary!$O43&lt;2),"",IF(MAX(Summary!$F43:$L43)=MIN(Summary!$F43:$L43),100,IF(Summary!$E43="Lower",(MAX(Summary!$F43:$L43)-Summary!F43)/(MAX(Summary!$F43:$L43)-MIN(Summary!$F43:$L43)),(Summary!F43-MIN(Summary!$F43:$L43))/(MAX(Summary!$F43:$L43)-MIN(Summary!$F43:$L43)))*100))</f>
        <v/>
      </c>
      <c r="D74" s="32">
        <f>IF(OR(Summary!G43="",Summary!$O43&lt;2),"",IF(MAX(Summary!$F43:$L43)=MIN(Summary!$F43:$L43),100,IF(Summary!$E43="Lower",(MAX(Summary!$F43:$L43)-Summary!G43)/(MAX(Summary!$F43:$L43)-MIN(Summary!$F43:$L43)),(Summary!G43-MIN(Summary!$F43:$L43))/(MAX(Summary!$F43:$L43)-MIN(Summary!$F43:$L43)))*100))</f>
        <v/>
      </c>
      <c r="E74" s="32">
        <f>IF(OR(Summary!H43="",Summary!$O43&lt;2),"",IF(MAX(Summary!$F43:$L43)=MIN(Summary!$F43:$L43),100,IF(Summary!$E43="Lower",(MAX(Summary!$F43:$L43)-Summary!H43)/(MAX(Summary!$F43:$L43)-MIN(Summary!$F43:$L43)),(Summary!H43-MIN(Summary!$F43:$L43))/(MAX(Summary!$F43:$L43)-MIN(Summary!$F43:$L43)))*100))</f>
        <v/>
      </c>
      <c r="F74" s="32">
        <f>IF(OR(Summary!I43="",Summary!$O43&lt;2),"",IF(MAX(Summary!$F43:$L43)=MIN(Summary!$F43:$L43),100,IF(Summary!$E43="Lower",(MAX(Summary!$F43:$L43)-Summary!I43)/(MAX(Summary!$F43:$L43)-MIN(Summary!$F43:$L43)),(Summary!I43-MIN(Summary!$F43:$L43))/(MAX(Summary!$F43:$L43)-MIN(Summary!$F43:$L43)))*100))</f>
        <v/>
      </c>
      <c r="G74" s="32">
        <f>IF(OR(Summary!J43="",Summary!$O43&lt;2),"",IF(MAX(Summary!$F43:$L43)=MIN(Summary!$F43:$L43),100,IF(Summary!$E43="Lower",(MAX(Summary!$F43:$L43)-Summary!J43)/(MAX(Summary!$F43:$L43)-MIN(Summary!$F43:$L43)),(Summary!J43-MIN(Summary!$F43:$L43))/(MAX(Summary!$F43:$L43)-MIN(Summary!$F43:$L43)))*100))</f>
        <v/>
      </c>
      <c r="H74" s="32">
        <f>IF(OR(Summary!K43="",Summary!$O43&lt;2),"",IF(MAX(Summary!$F43:$L43)=MIN(Summary!$F43:$L43),100,IF(Summary!$E43="Lower",(MAX(Summary!$F43:$L43)-Summary!K43)/(MAX(Summary!$F43:$L43)-MIN(Summary!$F43:$L43)),(Summary!K43-MIN(Summary!$F43:$L43))/(MAX(Summary!$F43:$L43)-MIN(Summary!$F43:$L43)))*100))</f>
        <v/>
      </c>
      <c r="I74" s="32">
        <f>IF(OR(Summary!L43="",Summary!$O43&lt;2),"",IF(MAX(Summary!$F43:$L43)=MIN(Summary!$F43:$L43),100,IF(Summary!$E43="Lower",(MAX(Summary!$F43:$L43)-Summary!L43)/(MAX(Summary!$F43:$L43)-MIN(Summary!$F43:$L43)),(Summary!L43-MIN(Summary!$F43:$L43))/(MAX(Summary!$F43:$L43)-MIN(Summary!$F43:$L43)))*100))</f>
        <v/>
      </c>
    </row>
    <row r="75">
      <c r="A75" s="7">
        <f>Summary!A44</f>
        <v/>
      </c>
      <c r="B75" s="7">
        <f>Summary!B44</f>
        <v/>
      </c>
      <c r="C75" s="31">
        <f>IF(OR(Summary!F44="",Summary!$O44&lt;2),"",IF(MAX(Summary!$F44:$L44)=MIN(Summary!$F44:$L44),100,IF(Summary!$E44="Lower",(MAX(Summary!$F44:$L44)-Summary!F44)/(MAX(Summary!$F44:$L44)-MIN(Summary!$F44:$L44)),(Summary!F44-MIN(Summary!$F44:$L44))/(MAX(Summary!$F44:$L44)-MIN(Summary!$F44:$L44)))*100))</f>
        <v/>
      </c>
      <c r="D75" s="32">
        <f>IF(OR(Summary!G44="",Summary!$O44&lt;2),"",IF(MAX(Summary!$F44:$L44)=MIN(Summary!$F44:$L44),100,IF(Summary!$E44="Lower",(MAX(Summary!$F44:$L44)-Summary!G44)/(MAX(Summary!$F44:$L44)-MIN(Summary!$F44:$L44)),(Summary!G44-MIN(Summary!$F44:$L44))/(MAX(Summary!$F44:$L44)-MIN(Summary!$F44:$L44)))*100))</f>
        <v/>
      </c>
      <c r="E75" s="32">
        <f>IF(OR(Summary!H44="",Summary!$O44&lt;2),"",IF(MAX(Summary!$F44:$L44)=MIN(Summary!$F44:$L44),100,IF(Summary!$E44="Lower",(MAX(Summary!$F44:$L44)-Summary!H44)/(MAX(Summary!$F44:$L44)-MIN(Summary!$F44:$L44)),(Summary!H44-MIN(Summary!$F44:$L44))/(MAX(Summary!$F44:$L44)-MIN(Summary!$F44:$L44)))*100))</f>
        <v/>
      </c>
      <c r="F75" s="32">
        <f>IF(OR(Summary!I44="",Summary!$O44&lt;2),"",IF(MAX(Summary!$F44:$L44)=MIN(Summary!$F44:$L44),100,IF(Summary!$E44="Lower",(MAX(Summary!$F44:$L44)-Summary!I44)/(MAX(Summary!$F44:$L44)-MIN(Summary!$F44:$L44)),(Summary!I44-MIN(Summary!$F44:$L44))/(MAX(Summary!$F44:$L44)-MIN(Summary!$F44:$L44)))*100))</f>
        <v/>
      </c>
      <c r="G75" s="32">
        <f>IF(OR(Summary!J44="",Summary!$O44&lt;2),"",IF(MAX(Summary!$F44:$L44)=MIN(Summary!$F44:$L44),100,IF(Summary!$E44="Lower",(MAX(Summary!$F44:$L44)-Summary!J44)/(MAX(Summary!$F44:$L44)-MIN(Summary!$F44:$L44)),(Summary!J44-MIN(Summary!$F44:$L44))/(MAX(Summary!$F44:$L44)-MIN(Summary!$F44:$L44)))*100))</f>
        <v/>
      </c>
      <c r="H75" s="32">
        <f>IF(OR(Summary!K44="",Summary!$O44&lt;2),"",IF(MAX(Summary!$F44:$L44)=MIN(Summary!$F44:$L44),100,IF(Summary!$E44="Lower",(MAX(Summary!$F44:$L44)-Summary!K44)/(MAX(Summary!$F44:$L44)-MIN(Summary!$F44:$L44)),(Summary!K44-MIN(Summary!$F44:$L44))/(MAX(Summary!$F44:$L44)-MIN(Summary!$F44:$L44)))*100))</f>
        <v/>
      </c>
      <c r="I75" s="32">
        <f>IF(OR(Summary!L44="",Summary!$O44&lt;2),"",IF(MAX(Summary!$F44:$L44)=MIN(Summary!$F44:$L44),100,IF(Summary!$E44="Lower",(MAX(Summary!$F44:$L44)-Summary!L44)/(MAX(Summary!$F44:$L44)-MIN(Summary!$F44:$L44)),(Summary!L44-MIN(Summary!$F44:$L44))/(MAX(Summary!$F44:$L44)-MIN(Summary!$F44:$L44)))*100))</f>
        <v/>
      </c>
    </row>
    <row r="76">
      <c r="A76" s="7">
        <f>Summary!A45</f>
        <v/>
      </c>
      <c r="B76" s="7">
        <f>Summary!B45</f>
        <v/>
      </c>
      <c r="C76" s="31">
        <f>IF(OR(Summary!F45="",Summary!$O45&lt;2),"",IF(MAX(Summary!$F45:$L45)=MIN(Summary!$F45:$L45),100,IF(Summary!$E45="Lower",(MAX(Summary!$F45:$L45)-Summary!F45)/(MAX(Summary!$F45:$L45)-MIN(Summary!$F45:$L45)),(Summary!F45-MIN(Summary!$F45:$L45))/(MAX(Summary!$F45:$L45)-MIN(Summary!$F45:$L45)))*100))</f>
        <v/>
      </c>
      <c r="D76" s="32">
        <f>IF(OR(Summary!G45="",Summary!$O45&lt;2),"",IF(MAX(Summary!$F45:$L45)=MIN(Summary!$F45:$L45),100,IF(Summary!$E45="Lower",(MAX(Summary!$F45:$L45)-Summary!G45)/(MAX(Summary!$F45:$L45)-MIN(Summary!$F45:$L45)),(Summary!G45-MIN(Summary!$F45:$L45))/(MAX(Summary!$F45:$L45)-MIN(Summary!$F45:$L45)))*100))</f>
        <v/>
      </c>
      <c r="E76" s="32">
        <f>IF(OR(Summary!H45="",Summary!$O45&lt;2),"",IF(MAX(Summary!$F45:$L45)=MIN(Summary!$F45:$L45),100,IF(Summary!$E45="Lower",(MAX(Summary!$F45:$L45)-Summary!H45)/(MAX(Summary!$F45:$L45)-MIN(Summary!$F45:$L45)),(Summary!H45-MIN(Summary!$F45:$L45))/(MAX(Summary!$F45:$L45)-MIN(Summary!$F45:$L45)))*100))</f>
        <v/>
      </c>
      <c r="F76" s="32">
        <f>IF(OR(Summary!I45="",Summary!$O45&lt;2),"",IF(MAX(Summary!$F45:$L45)=MIN(Summary!$F45:$L45),100,IF(Summary!$E45="Lower",(MAX(Summary!$F45:$L45)-Summary!I45)/(MAX(Summary!$F45:$L45)-MIN(Summary!$F45:$L45)),(Summary!I45-MIN(Summary!$F45:$L45))/(MAX(Summary!$F45:$L45)-MIN(Summary!$F45:$L45)))*100))</f>
        <v/>
      </c>
      <c r="G76" s="32">
        <f>IF(OR(Summary!J45="",Summary!$O45&lt;2),"",IF(MAX(Summary!$F45:$L45)=MIN(Summary!$F45:$L45),100,IF(Summary!$E45="Lower",(MAX(Summary!$F45:$L45)-Summary!J45)/(MAX(Summary!$F45:$L45)-MIN(Summary!$F45:$L45)),(Summary!J45-MIN(Summary!$F45:$L45))/(MAX(Summary!$F45:$L45)-MIN(Summary!$F45:$L45)))*100))</f>
        <v/>
      </c>
      <c r="H76" s="32">
        <f>IF(OR(Summary!K45="",Summary!$O45&lt;2),"",IF(MAX(Summary!$F45:$L45)=MIN(Summary!$F45:$L45),100,IF(Summary!$E45="Lower",(MAX(Summary!$F45:$L45)-Summary!K45)/(MAX(Summary!$F45:$L45)-MIN(Summary!$F45:$L45)),(Summary!K45-MIN(Summary!$F45:$L45))/(MAX(Summary!$F45:$L45)-MIN(Summary!$F45:$L45)))*100))</f>
        <v/>
      </c>
      <c r="I76" s="32">
        <f>IF(OR(Summary!L45="",Summary!$O45&lt;2),"",IF(MAX(Summary!$F45:$L45)=MIN(Summary!$F45:$L45),100,IF(Summary!$E45="Lower",(MAX(Summary!$F45:$L45)-Summary!L45)/(MAX(Summary!$F45:$L45)-MIN(Summary!$F45:$L45)),(Summary!L45-MIN(Summary!$F45:$L45))/(MAX(Summary!$F45:$L45)-MIN(Summary!$F45:$L45)))*100))</f>
        <v/>
      </c>
    </row>
    <row r="77">
      <c r="A77" s="7">
        <f>Summary!A46</f>
        <v/>
      </c>
      <c r="B77" s="7">
        <f>Summary!B46</f>
        <v/>
      </c>
      <c r="C77" s="31">
        <f>IF(OR(Summary!F46="",Summary!$O46&lt;2),"",IF(MAX(Summary!$F46:$L46)=MIN(Summary!$F46:$L46),100,IF(Summary!$E46="Lower",(MAX(Summary!$F46:$L46)-Summary!F46)/(MAX(Summary!$F46:$L46)-MIN(Summary!$F46:$L46)),(Summary!F46-MIN(Summary!$F46:$L46))/(MAX(Summary!$F46:$L46)-MIN(Summary!$F46:$L46)))*100))</f>
        <v/>
      </c>
      <c r="D77" s="32">
        <f>IF(OR(Summary!G46="",Summary!$O46&lt;2),"",IF(MAX(Summary!$F46:$L46)=MIN(Summary!$F46:$L46),100,IF(Summary!$E46="Lower",(MAX(Summary!$F46:$L46)-Summary!G46)/(MAX(Summary!$F46:$L46)-MIN(Summary!$F46:$L46)),(Summary!G46-MIN(Summary!$F46:$L46))/(MAX(Summary!$F46:$L46)-MIN(Summary!$F46:$L46)))*100))</f>
        <v/>
      </c>
      <c r="E77" s="32">
        <f>IF(OR(Summary!H46="",Summary!$O46&lt;2),"",IF(MAX(Summary!$F46:$L46)=MIN(Summary!$F46:$L46),100,IF(Summary!$E46="Lower",(MAX(Summary!$F46:$L46)-Summary!H46)/(MAX(Summary!$F46:$L46)-MIN(Summary!$F46:$L46)),(Summary!H46-MIN(Summary!$F46:$L46))/(MAX(Summary!$F46:$L46)-MIN(Summary!$F46:$L46)))*100))</f>
        <v/>
      </c>
      <c r="F77" s="32">
        <f>IF(OR(Summary!I46="",Summary!$O46&lt;2),"",IF(MAX(Summary!$F46:$L46)=MIN(Summary!$F46:$L46),100,IF(Summary!$E46="Lower",(MAX(Summary!$F46:$L46)-Summary!I46)/(MAX(Summary!$F46:$L46)-MIN(Summary!$F46:$L46)),(Summary!I46-MIN(Summary!$F46:$L46))/(MAX(Summary!$F46:$L46)-MIN(Summary!$F46:$L46)))*100))</f>
        <v/>
      </c>
      <c r="G77" s="32">
        <f>IF(OR(Summary!J46="",Summary!$O46&lt;2),"",IF(MAX(Summary!$F46:$L46)=MIN(Summary!$F46:$L46),100,IF(Summary!$E46="Lower",(MAX(Summary!$F46:$L46)-Summary!J46)/(MAX(Summary!$F46:$L46)-MIN(Summary!$F46:$L46)),(Summary!J46-MIN(Summary!$F46:$L46))/(MAX(Summary!$F46:$L46)-MIN(Summary!$F46:$L46)))*100))</f>
        <v/>
      </c>
      <c r="H77" s="32">
        <f>IF(OR(Summary!K46="",Summary!$O46&lt;2),"",IF(MAX(Summary!$F46:$L46)=MIN(Summary!$F46:$L46),100,IF(Summary!$E46="Lower",(MAX(Summary!$F46:$L46)-Summary!K46)/(MAX(Summary!$F46:$L46)-MIN(Summary!$F46:$L46)),(Summary!K46-MIN(Summary!$F46:$L46))/(MAX(Summary!$F46:$L46)-MIN(Summary!$F46:$L46)))*100))</f>
        <v/>
      </c>
      <c r="I77" s="32">
        <f>IF(OR(Summary!L46="",Summary!$O46&lt;2),"",IF(MAX(Summary!$F46:$L46)=MIN(Summary!$F46:$L46),100,IF(Summary!$E46="Lower",(MAX(Summary!$F46:$L46)-Summary!L46)/(MAX(Summary!$F46:$L46)-MIN(Summary!$F46:$L46)),(Summary!L46-MIN(Summary!$F46:$L46))/(MAX(Summary!$F46:$L46)-MIN(Summary!$F46:$L46)))*100))</f>
        <v/>
      </c>
    </row>
    <row r="78">
      <c r="A78" s="7">
        <f>Summary!A47</f>
        <v/>
      </c>
      <c r="B78" s="7">
        <f>Summary!B47</f>
        <v/>
      </c>
      <c r="C78" s="31">
        <f>IF(OR(Summary!F47="",Summary!$O47&lt;2),"",IF(MAX(Summary!$F47:$L47)=MIN(Summary!$F47:$L47),100,IF(Summary!$E47="Lower",(MAX(Summary!$F47:$L47)-Summary!F47)/(MAX(Summary!$F47:$L47)-MIN(Summary!$F47:$L47)),(Summary!F47-MIN(Summary!$F47:$L47))/(MAX(Summary!$F47:$L47)-MIN(Summary!$F47:$L47)))*100))</f>
        <v/>
      </c>
      <c r="D78" s="32">
        <f>IF(OR(Summary!G47="",Summary!$O47&lt;2),"",IF(MAX(Summary!$F47:$L47)=MIN(Summary!$F47:$L47),100,IF(Summary!$E47="Lower",(MAX(Summary!$F47:$L47)-Summary!G47)/(MAX(Summary!$F47:$L47)-MIN(Summary!$F47:$L47)),(Summary!G47-MIN(Summary!$F47:$L47))/(MAX(Summary!$F47:$L47)-MIN(Summary!$F47:$L47)))*100))</f>
        <v/>
      </c>
      <c r="E78" s="32">
        <f>IF(OR(Summary!H47="",Summary!$O47&lt;2),"",IF(MAX(Summary!$F47:$L47)=MIN(Summary!$F47:$L47),100,IF(Summary!$E47="Lower",(MAX(Summary!$F47:$L47)-Summary!H47)/(MAX(Summary!$F47:$L47)-MIN(Summary!$F47:$L47)),(Summary!H47-MIN(Summary!$F47:$L47))/(MAX(Summary!$F47:$L47)-MIN(Summary!$F47:$L47)))*100))</f>
        <v/>
      </c>
      <c r="F78" s="32">
        <f>IF(OR(Summary!I47="",Summary!$O47&lt;2),"",IF(MAX(Summary!$F47:$L47)=MIN(Summary!$F47:$L47),100,IF(Summary!$E47="Lower",(MAX(Summary!$F47:$L47)-Summary!I47)/(MAX(Summary!$F47:$L47)-MIN(Summary!$F47:$L47)),(Summary!I47-MIN(Summary!$F47:$L47))/(MAX(Summary!$F47:$L47)-MIN(Summary!$F47:$L47)))*100))</f>
        <v/>
      </c>
      <c r="G78" s="32">
        <f>IF(OR(Summary!J47="",Summary!$O47&lt;2),"",IF(MAX(Summary!$F47:$L47)=MIN(Summary!$F47:$L47),100,IF(Summary!$E47="Lower",(MAX(Summary!$F47:$L47)-Summary!J47)/(MAX(Summary!$F47:$L47)-MIN(Summary!$F47:$L47)),(Summary!J47-MIN(Summary!$F47:$L47))/(MAX(Summary!$F47:$L47)-MIN(Summary!$F47:$L47)))*100))</f>
        <v/>
      </c>
      <c r="H78" s="32">
        <f>IF(OR(Summary!K47="",Summary!$O47&lt;2),"",IF(MAX(Summary!$F47:$L47)=MIN(Summary!$F47:$L47),100,IF(Summary!$E47="Lower",(MAX(Summary!$F47:$L47)-Summary!K47)/(MAX(Summary!$F47:$L47)-MIN(Summary!$F47:$L47)),(Summary!K47-MIN(Summary!$F47:$L47))/(MAX(Summary!$F47:$L47)-MIN(Summary!$F47:$L47)))*100))</f>
        <v/>
      </c>
      <c r="I78" s="32">
        <f>IF(OR(Summary!L47="",Summary!$O47&lt;2),"",IF(MAX(Summary!$F47:$L47)=MIN(Summary!$F47:$L47),100,IF(Summary!$E47="Lower",(MAX(Summary!$F47:$L47)-Summary!L47)/(MAX(Summary!$F47:$L47)-MIN(Summary!$F47:$L47)),(Summary!L47-MIN(Summary!$F47:$L47))/(MAX(Summary!$F47:$L47)-MIN(Summary!$F47:$L47)))*100))</f>
        <v/>
      </c>
    </row>
    <row r="79">
      <c r="A79" s="7">
        <f>Summary!A48</f>
        <v/>
      </c>
      <c r="B79" s="7">
        <f>Summary!B48</f>
        <v/>
      </c>
      <c r="C79" s="31">
        <f>IF(OR(Summary!F48="",Summary!$O48&lt;2),"",IF(MAX(Summary!$F48:$L48)=MIN(Summary!$F48:$L48),100,IF(Summary!$E48="Lower",(MAX(Summary!$F48:$L48)-Summary!F48)/(MAX(Summary!$F48:$L48)-MIN(Summary!$F48:$L48)),(Summary!F48-MIN(Summary!$F48:$L48))/(MAX(Summary!$F48:$L48)-MIN(Summary!$F48:$L48)))*100))</f>
        <v/>
      </c>
      <c r="D79" s="32">
        <f>IF(OR(Summary!G48="",Summary!$O48&lt;2),"",IF(MAX(Summary!$F48:$L48)=MIN(Summary!$F48:$L48),100,IF(Summary!$E48="Lower",(MAX(Summary!$F48:$L48)-Summary!G48)/(MAX(Summary!$F48:$L48)-MIN(Summary!$F48:$L48)),(Summary!G48-MIN(Summary!$F48:$L48))/(MAX(Summary!$F48:$L48)-MIN(Summary!$F48:$L48)))*100))</f>
        <v/>
      </c>
      <c r="E79" s="32">
        <f>IF(OR(Summary!H48="",Summary!$O48&lt;2),"",IF(MAX(Summary!$F48:$L48)=MIN(Summary!$F48:$L48),100,IF(Summary!$E48="Lower",(MAX(Summary!$F48:$L48)-Summary!H48)/(MAX(Summary!$F48:$L48)-MIN(Summary!$F48:$L48)),(Summary!H48-MIN(Summary!$F48:$L48))/(MAX(Summary!$F48:$L48)-MIN(Summary!$F48:$L48)))*100))</f>
        <v/>
      </c>
      <c r="F79" s="32">
        <f>IF(OR(Summary!I48="",Summary!$O48&lt;2),"",IF(MAX(Summary!$F48:$L48)=MIN(Summary!$F48:$L48),100,IF(Summary!$E48="Lower",(MAX(Summary!$F48:$L48)-Summary!I48)/(MAX(Summary!$F48:$L48)-MIN(Summary!$F48:$L48)),(Summary!I48-MIN(Summary!$F48:$L48))/(MAX(Summary!$F48:$L48)-MIN(Summary!$F48:$L48)))*100))</f>
        <v/>
      </c>
      <c r="G79" s="32">
        <f>IF(OR(Summary!J48="",Summary!$O48&lt;2),"",IF(MAX(Summary!$F48:$L48)=MIN(Summary!$F48:$L48),100,IF(Summary!$E48="Lower",(MAX(Summary!$F48:$L48)-Summary!J48)/(MAX(Summary!$F48:$L48)-MIN(Summary!$F48:$L48)),(Summary!J48-MIN(Summary!$F48:$L48))/(MAX(Summary!$F48:$L48)-MIN(Summary!$F48:$L48)))*100))</f>
        <v/>
      </c>
      <c r="H79" s="32">
        <f>IF(OR(Summary!K48="",Summary!$O48&lt;2),"",IF(MAX(Summary!$F48:$L48)=MIN(Summary!$F48:$L48),100,IF(Summary!$E48="Lower",(MAX(Summary!$F48:$L48)-Summary!K48)/(MAX(Summary!$F48:$L48)-MIN(Summary!$F48:$L48)),(Summary!K48-MIN(Summary!$F48:$L48))/(MAX(Summary!$F48:$L48)-MIN(Summary!$F48:$L48)))*100))</f>
        <v/>
      </c>
      <c r="I79" s="32">
        <f>IF(OR(Summary!L48="",Summary!$O48&lt;2),"",IF(MAX(Summary!$F48:$L48)=MIN(Summary!$F48:$L48),100,IF(Summary!$E48="Lower",(MAX(Summary!$F48:$L48)-Summary!L48)/(MAX(Summary!$F48:$L48)-MIN(Summary!$F48:$L48)),(Summary!L48-MIN(Summary!$F48:$L48))/(MAX(Summary!$F48:$L48)-MIN(Summary!$F48:$L48)))*100))</f>
        <v/>
      </c>
    </row>
    <row r="80">
      <c r="A80" s="7">
        <f>Summary!A49</f>
        <v/>
      </c>
      <c r="B80" s="7">
        <f>Summary!B49</f>
        <v/>
      </c>
      <c r="C80" s="31">
        <f>IF(OR(Summary!F49="",Summary!$O49&lt;2),"",IF(MAX(Summary!$F49:$L49)=MIN(Summary!$F49:$L49),100,IF(Summary!$E49="Lower",(MAX(Summary!$F49:$L49)-Summary!F49)/(MAX(Summary!$F49:$L49)-MIN(Summary!$F49:$L49)),(Summary!F49-MIN(Summary!$F49:$L49))/(MAX(Summary!$F49:$L49)-MIN(Summary!$F49:$L49)))*100))</f>
        <v/>
      </c>
      <c r="D80" s="32">
        <f>IF(OR(Summary!G49="",Summary!$O49&lt;2),"",IF(MAX(Summary!$F49:$L49)=MIN(Summary!$F49:$L49),100,IF(Summary!$E49="Lower",(MAX(Summary!$F49:$L49)-Summary!G49)/(MAX(Summary!$F49:$L49)-MIN(Summary!$F49:$L49)),(Summary!G49-MIN(Summary!$F49:$L49))/(MAX(Summary!$F49:$L49)-MIN(Summary!$F49:$L49)))*100))</f>
        <v/>
      </c>
      <c r="E80" s="32">
        <f>IF(OR(Summary!H49="",Summary!$O49&lt;2),"",IF(MAX(Summary!$F49:$L49)=MIN(Summary!$F49:$L49),100,IF(Summary!$E49="Lower",(MAX(Summary!$F49:$L49)-Summary!H49)/(MAX(Summary!$F49:$L49)-MIN(Summary!$F49:$L49)),(Summary!H49-MIN(Summary!$F49:$L49))/(MAX(Summary!$F49:$L49)-MIN(Summary!$F49:$L49)))*100))</f>
        <v/>
      </c>
      <c r="F80" s="32">
        <f>IF(OR(Summary!I49="",Summary!$O49&lt;2),"",IF(MAX(Summary!$F49:$L49)=MIN(Summary!$F49:$L49),100,IF(Summary!$E49="Lower",(MAX(Summary!$F49:$L49)-Summary!I49)/(MAX(Summary!$F49:$L49)-MIN(Summary!$F49:$L49)),(Summary!I49-MIN(Summary!$F49:$L49))/(MAX(Summary!$F49:$L49)-MIN(Summary!$F49:$L49)))*100))</f>
        <v/>
      </c>
      <c r="G80" s="32">
        <f>IF(OR(Summary!J49="",Summary!$O49&lt;2),"",IF(MAX(Summary!$F49:$L49)=MIN(Summary!$F49:$L49),100,IF(Summary!$E49="Lower",(MAX(Summary!$F49:$L49)-Summary!J49)/(MAX(Summary!$F49:$L49)-MIN(Summary!$F49:$L49)),(Summary!J49-MIN(Summary!$F49:$L49))/(MAX(Summary!$F49:$L49)-MIN(Summary!$F49:$L49)))*100))</f>
        <v/>
      </c>
      <c r="H80" s="32">
        <f>IF(OR(Summary!K49="",Summary!$O49&lt;2),"",IF(MAX(Summary!$F49:$L49)=MIN(Summary!$F49:$L49),100,IF(Summary!$E49="Lower",(MAX(Summary!$F49:$L49)-Summary!K49)/(MAX(Summary!$F49:$L49)-MIN(Summary!$F49:$L49)),(Summary!K49-MIN(Summary!$F49:$L49))/(MAX(Summary!$F49:$L49)-MIN(Summary!$F49:$L49)))*100))</f>
        <v/>
      </c>
      <c r="I80" s="32">
        <f>IF(OR(Summary!L49="",Summary!$O49&lt;2),"",IF(MAX(Summary!$F49:$L49)=MIN(Summary!$F49:$L49),100,IF(Summary!$E49="Lower",(MAX(Summary!$F49:$L49)-Summary!L49)/(MAX(Summary!$F49:$L49)-MIN(Summary!$F49:$L49)),(Summary!L49-MIN(Summary!$F49:$L49))/(MAX(Summary!$F49:$L49)-MIN(Summary!$F49:$L49)))*100))</f>
        <v/>
      </c>
    </row>
    <row r="81">
      <c r="A81" s="7">
        <f>Summary!A50</f>
        <v/>
      </c>
      <c r="B81" s="7">
        <f>Summary!B50</f>
        <v/>
      </c>
      <c r="C81" s="31">
        <f>IF(OR(Summary!F50="",Summary!$O50&lt;2),"",IF(MAX(Summary!$F50:$L50)=MIN(Summary!$F50:$L50),100,IF(Summary!$E50="Lower",(MAX(Summary!$F50:$L50)-Summary!F50)/(MAX(Summary!$F50:$L50)-MIN(Summary!$F50:$L50)),(Summary!F50-MIN(Summary!$F50:$L50))/(MAX(Summary!$F50:$L50)-MIN(Summary!$F50:$L50)))*100))</f>
        <v/>
      </c>
      <c r="D81" s="32">
        <f>IF(OR(Summary!G50="",Summary!$O50&lt;2),"",IF(MAX(Summary!$F50:$L50)=MIN(Summary!$F50:$L50),100,IF(Summary!$E50="Lower",(MAX(Summary!$F50:$L50)-Summary!G50)/(MAX(Summary!$F50:$L50)-MIN(Summary!$F50:$L50)),(Summary!G50-MIN(Summary!$F50:$L50))/(MAX(Summary!$F50:$L50)-MIN(Summary!$F50:$L50)))*100))</f>
        <v/>
      </c>
      <c r="E81" s="32">
        <f>IF(OR(Summary!H50="",Summary!$O50&lt;2),"",IF(MAX(Summary!$F50:$L50)=MIN(Summary!$F50:$L50),100,IF(Summary!$E50="Lower",(MAX(Summary!$F50:$L50)-Summary!H50)/(MAX(Summary!$F50:$L50)-MIN(Summary!$F50:$L50)),(Summary!H50-MIN(Summary!$F50:$L50))/(MAX(Summary!$F50:$L50)-MIN(Summary!$F50:$L50)))*100))</f>
        <v/>
      </c>
      <c r="F81" s="32">
        <f>IF(OR(Summary!I50="",Summary!$O50&lt;2),"",IF(MAX(Summary!$F50:$L50)=MIN(Summary!$F50:$L50),100,IF(Summary!$E50="Lower",(MAX(Summary!$F50:$L50)-Summary!I50)/(MAX(Summary!$F50:$L50)-MIN(Summary!$F50:$L50)),(Summary!I50-MIN(Summary!$F50:$L50))/(MAX(Summary!$F50:$L50)-MIN(Summary!$F50:$L50)))*100))</f>
        <v/>
      </c>
      <c r="G81" s="32">
        <f>IF(OR(Summary!J50="",Summary!$O50&lt;2),"",IF(MAX(Summary!$F50:$L50)=MIN(Summary!$F50:$L50),100,IF(Summary!$E50="Lower",(MAX(Summary!$F50:$L50)-Summary!J50)/(MAX(Summary!$F50:$L50)-MIN(Summary!$F50:$L50)),(Summary!J50-MIN(Summary!$F50:$L50))/(MAX(Summary!$F50:$L50)-MIN(Summary!$F50:$L50)))*100))</f>
        <v/>
      </c>
      <c r="H81" s="32">
        <f>IF(OR(Summary!K50="",Summary!$O50&lt;2),"",IF(MAX(Summary!$F50:$L50)=MIN(Summary!$F50:$L50),100,IF(Summary!$E50="Lower",(MAX(Summary!$F50:$L50)-Summary!K50)/(MAX(Summary!$F50:$L50)-MIN(Summary!$F50:$L50)),(Summary!K50-MIN(Summary!$F50:$L50))/(MAX(Summary!$F50:$L50)-MIN(Summary!$F50:$L50)))*100))</f>
        <v/>
      </c>
      <c r="I81" s="32">
        <f>IF(OR(Summary!L50="",Summary!$O50&lt;2),"",IF(MAX(Summary!$F50:$L50)=MIN(Summary!$F50:$L50),100,IF(Summary!$E50="Lower",(MAX(Summary!$F50:$L50)-Summary!L50)/(MAX(Summary!$F50:$L50)-MIN(Summary!$F50:$L50)),(Summary!L50-MIN(Summary!$F50:$L50))/(MAX(Summary!$F50:$L50)-MIN(Summary!$F50:$L50)))*100))</f>
        <v/>
      </c>
    </row>
    <row r="82">
      <c r="A82" s="7">
        <f>Summary!A51</f>
        <v/>
      </c>
      <c r="B82" s="7">
        <f>Summary!B51</f>
        <v/>
      </c>
      <c r="C82" s="31">
        <f>IF(OR(Summary!F51="",Summary!$O51&lt;2),"",IF(MAX(Summary!$F51:$L51)=MIN(Summary!$F51:$L51),100,IF(Summary!$E51="Lower",(MAX(Summary!$F51:$L51)-Summary!F51)/(MAX(Summary!$F51:$L51)-MIN(Summary!$F51:$L51)),(Summary!F51-MIN(Summary!$F51:$L51))/(MAX(Summary!$F51:$L51)-MIN(Summary!$F51:$L51)))*100))</f>
        <v/>
      </c>
      <c r="D82" s="32">
        <f>IF(OR(Summary!G51="",Summary!$O51&lt;2),"",IF(MAX(Summary!$F51:$L51)=MIN(Summary!$F51:$L51),100,IF(Summary!$E51="Lower",(MAX(Summary!$F51:$L51)-Summary!G51)/(MAX(Summary!$F51:$L51)-MIN(Summary!$F51:$L51)),(Summary!G51-MIN(Summary!$F51:$L51))/(MAX(Summary!$F51:$L51)-MIN(Summary!$F51:$L51)))*100))</f>
        <v/>
      </c>
      <c r="E82" s="32">
        <f>IF(OR(Summary!H51="",Summary!$O51&lt;2),"",IF(MAX(Summary!$F51:$L51)=MIN(Summary!$F51:$L51),100,IF(Summary!$E51="Lower",(MAX(Summary!$F51:$L51)-Summary!H51)/(MAX(Summary!$F51:$L51)-MIN(Summary!$F51:$L51)),(Summary!H51-MIN(Summary!$F51:$L51))/(MAX(Summary!$F51:$L51)-MIN(Summary!$F51:$L51)))*100))</f>
        <v/>
      </c>
      <c r="F82" s="32">
        <f>IF(OR(Summary!I51="",Summary!$O51&lt;2),"",IF(MAX(Summary!$F51:$L51)=MIN(Summary!$F51:$L51),100,IF(Summary!$E51="Lower",(MAX(Summary!$F51:$L51)-Summary!I51)/(MAX(Summary!$F51:$L51)-MIN(Summary!$F51:$L51)),(Summary!I51-MIN(Summary!$F51:$L51))/(MAX(Summary!$F51:$L51)-MIN(Summary!$F51:$L51)))*100))</f>
        <v/>
      </c>
      <c r="G82" s="32">
        <f>IF(OR(Summary!J51="",Summary!$O51&lt;2),"",IF(MAX(Summary!$F51:$L51)=MIN(Summary!$F51:$L51),100,IF(Summary!$E51="Lower",(MAX(Summary!$F51:$L51)-Summary!J51)/(MAX(Summary!$F51:$L51)-MIN(Summary!$F51:$L51)),(Summary!J51-MIN(Summary!$F51:$L51))/(MAX(Summary!$F51:$L51)-MIN(Summary!$F51:$L51)))*100))</f>
        <v/>
      </c>
      <c r="H82" s="32">
        <f>IF(OR(Summary!K51="",Summary!$O51&lt;2),"",IF(MAX(Summary!$F51:$L51)=MIN(Summary!$F51:$L51),100,IF(Summary!$E51="Lower",(MAX(Summary!$F51:$L51)-Summary!K51)/(MAX(Summary!$F51:$L51)-MIN(Summary!$F51:$L51)),(Summary!K51-MIN(Summary!$F51:$L51))/(MAX(Summary!$F51:$L51)-MIN(Summary!$F51:$L51)))*100))</f>
        <v/>
      </c>
      <c r="I82" s="32">
        <f>IF(OR(Summary!L51="",Summary!$O51&lt;2),"",IF(MAX(Summary!$F51:$L51)=MIN(Summary!$F51:$L51),100,IF(Summary!$E51="Lower",(MAX(Summary!$F51:$L51)-Summary!L51)/(MAX(Summary!$F51:$L51)-MIN(Summary!$F51:$L51)),(Summary!L51-MIN(Summary!$F51:$L51))/(MAX(Summary!$F51:$L51)-MIN(Summary!$F51:$L51)))*100))</f>
        <v/>
      </c>
    </row>
    <row r="83">
      <c r="A83" s="7">
        <f>Summary!A52</f>
        <v/>
      </c>
      <c r="B83" s="7">
        <f>Summary!B52</f>
        <v/>
      </c>
      <c r="C83" s="31">
        <f>IF(OR(Summary!F52="",Summary!$O52&lt;2),"",IF(MAX(Summary!$F52:$L52)=MIN(Summary!$F52:$L52),100,IF(Summary!$E52="Lower",(MAX(Summary!$F52:$L52)-Summary!F52)/(MAX(Summary!$F52:$L52)-MIN(Summary!$F52:$L52)),(Summary!F52-MIN(Summary!$F52:$L52))/(MAX(Summary!$F52:$L52)-MIN(Summary!$F52:$L52)))*100))</f>
        <v/>
      </c>
      <c r="D83" s="32">
        <f>IF(OR(Summary!G52="",Summary!$O52&lt;2),"",IF(MAX(Summary!$F52:$L52)=MIN(Summary!$F52:$L52),100,IF(Summary!$E52="Lower",(MAX(Summary!$F52:$L52)-Summary!G52)/(MAX(Summary!$F52:$L52)-MIN(Summary!$F52:$L52)),(Summary!G52-MIN(Summary!$F52:$L52))/(MAX(Summary!$F52:$L52)-MIN(Summary!$F52:$L52)))*100))</f>
        <v/>
      </c>
      <c r="E83" s="32">
        <f>IF(OR(Summary!H52="",Summary!$O52&lt;2),"",IF(MAX(Summary!$F52:$L52)=MIN(Summary!$F52:$L52),100,IF(Summary!$E52="Lower",(MAX(Summary!$F52:$L52)-Summary!H52)/(MAX(Summary!$F52:$L52)-MIN(Summary!$F52:$L52)),(Summary!H52-MIN(Summary!$F52:$L52))/(MAX(Summary!$F52:$L52)-MIN(Summary!$F52:$L52)))*100))</f>
        <v/>
      </c>
      <c r="F83" s="32">
        <f>IF(OR(Summary!I52="",Summary!$O52&lt;2),"",IF(MAX(Summary!$F52:$L52)=MIN(Summary!$F52:$L52),100,IF(Summary!$E52="Lower",(MAX(Summary!$F52:$L52)-Summary!I52)/(MAX(Summary!$F52:$L52)-MIN(Summary!$F52:$L52)),(Summary!I52-MIN(Summary!$F52:$L52))/(MAX(Summary!$F52:$L52)-MIN(Summary!$F52:$L52)))*100))</f>
        <v/>
      </c>
      <c r="G83" s="32">
        <f>IF(OR(Summary!J52="",Summary!$O52&lt;2),"",IF(MAX(Summary!$F52:$L52)=MIN(Summary!$F52:$L52),100,IF(Summary!$E52="Lower",(MAX(Summary!$F52:$L52)-Summary!J52)/(MAX(Summary!$F52:$L52)-MIN(Summary!$F52:$L52)),(Summary!J52-MIN(Summary!$F52:$L52))/(MAX(Summary!$F52:$L52)-MIN(Summary!$F52:$L52)))*100))</f>
        <v/>
      </c>
      <c r="H83" s="32">
        <f>IF(OR(Summary!K52="",Summary!$O52&lt;2),"",IF(MAX(Summary!$F52:$L52)=MIN(Summary!$F52:$L52),100,IF(Summary!$E52="Lower",(MAX(Summary!$F52:$L52)-Summary!K52)/(MAX(Summary!$F52:$L52)-MIN(Summary!$F52:$L52)),(Summary!K52-MIN(Summary!$F52:$L52))/(MAX(Summary!$F52:$L52)-MIN(Summary!$F52:$L52)))*100))</f>
        <v/>
      </c>
      <c r="I83" s="32">
        <f>IF(OR(Summary!L52="",Summary!$O52&lt;2),"",IF(MAX(Summary!$F52:$L52)=MIN(Summary!$F52:$L52),100,IF(Summary!$E52="Lower",(MAX(Summary!$F52:$L52)-Summary!L52)/(MAX(Summary!$F52:$L52)-MIN(Summary!$F52:$L52)),(Summary!L52-MIN(Summary!$F52:$L52))/(MAX(Summary!$F52:$L52)-MIN(Summary!$F52:$L52)))*100))</f>
        <v/>
      </c>
    </row>
    <row r="84">
      <c r="A84" s="7">
        <f>Summary!A53</f>
        <v/>
      </c>
      <c r="B84" s="7">
        <f>Summary!B53</f>
        <v/>
      </c>
      <c r="C84" s="31">
        <f>IF(OR(Summary!F53="",Summary!$O53&lt;2),"",IF(MAX(Summary!$F53:$L53)=MIN(Summary!$F53:$L53),100,IF(Summary!$E53="Lower",(MAX(Summary!$F53:$L53)-Summary!F53)/(MAX(Summary!$F53:$L53)-MIN(Summary!$F53:$L53)),(Summary!F53-MIN(Summary!$F53:$L53))/(MAX(Summary!$F53:$L53)-MIN(Summary!$F53:$L53)))*100))</f>
        <v/>
      </c>
      <c r="D84" s="32">
        <f>IF(OR(Summary!G53="",Summary!$O53&lt;2),"",IF(MAX(Summary!$F53:$L53)=MIN(Summary!$F53:$L53),100,IF(Summary!$E53="Lower",(MAX(Summary!$F53:$L53)-Summary!G53)/(MAX(Summary!$F53:$L53)-MIN(Summary!$F53:$L53)),(Summary!G53-MIN(Summary!$F53:$L53))/(MAX(Summary!$F53:$L53)-MIN(Summary!$F53:$L53)))*100))</f>
        <v/>
      </c>
      <c r="E84" s="32">
        <f>IF(OR(Summary!H53="",Summary!$O53&lt;2),"",IF(MAX(Summary!$F53:$L53)=MIN(Summary!$F53:$L53),100,IF(Summary!$E53="Lower",(MAX(Summary!$F53:$L53)-Summary!H53)/(MAX(Summary!$F53:$L53)-MIN(Summary!$F53:$L53)),(Summary!H53-MIN(Summary!$F53:$L53))/(MAX(Summary!$F53:$L53)-MIN(Summary!$F53:$L53)))*100))</f>
        <v/>
      </c>
      <c r="F84" s="32">
        <f>IF(OR(Summary!I53="",Summary!$O53&lt;2),"",IF(MAX(Summary!$F53:$L53)=MIN(Summary!$F53:$L53),100,IF(Summary!$E53="Lower",(MAX(Summary!$F53:$L53)-Summary!I53)/(MAX(Summary!$F53:$L53)-MIN(Summary!$F53:$L53)),(Summary!I53-MIN(Summary!$F53:$L53))/(MAX(Summary!$F53:$L53)-MIN(Summary!$F53:$L53)))*100))</f>
        <v/>
      </c>
      <c r="G84" s="32">
        <f>IF(OR(Summary!J53="",Summary!$O53&lt;2),"",IF(MAX(Summary!$F53:$L53)=MIN(Summary!$F53:$L53),100,IF(Summary!$E53="Lower",(MAX(Summary!$F53:$L53)-Summary!J53)/(MAX(Summary!$F53:$L53)-MIN(Summary!$F53:$L53)),(Summary!J53-MIN(Summary!$F53:$L53))/(MAX(Summary!$F53:$L53)-MIN(Summary!$F53:$L53)))*100))</f>
        <v/>
      </c>
      <c r="H84" s="32">
        <f>IF(OR(Summary!K53="",Summary!$O53&lt;2),"",IF(MAX(Summary!$F53:$L53)=MIN(Summary!$F53:$L53),100,IF(Summary!$E53="Lower",(MAX(Summary!$F53:$L53)-Summary!K53)/(MAX(Summary!$F53:$L53)-MIN(Summary!$F53:$L53)),(Summary!K53-MIN(Summary!$F53:$L53))/(MAX(Summary!$F53:$L53)-MIN(Summary!$F53:$L53)))*100))</f>
        <v/>
      </c>
      <c r="I84" s="32">
        <f>IF(OR(Summary!L53="",Summary!$O53&lt;2),"",IF(MAX(Summary!$F53:$L53)=MIN(Summary!$F53:$L53),100,IF(Summary!$E53="Lower",(MAX(Summary!$F53:$L53)-Summary!L53)/(MAX(Summary!$F53:$L53)-MIN(Summary!$F53:$L53)),(Summary!L53-MIN(Summary!$F53:$L53))/(MAX(Summary!$F53:$L53)-MIN(Summary!$F53:$L53)))*100))</f>
        <v/>
      </c>
    </row>
    <row r="85">
      <c r="A85" s="7">
        <f>Summary!A54</f>
        <v/>
      </c>
      <c r="B85" s="7">
        <f>Summary!B54</f>
        <v/>
      </c>
      <c r="C85" s="31">
        <f>IF(OR(Summary!F54="",Summary!$O54&lt;2),"",IF(MAX(Summary!$F54:$L54)=MIN(Summary!$F54:$L54),100,IF(Summary!$E54="Lower",(MAX(Summary!$F54:$L54)-Summary!F54)/(MAX(Summary!$F54:$L54)-MIN(Summary!$F54:$L54)),(Summary!F54-MIN(Summary!$F54:$L54))/(MAX(Summary!$F54:$L54)-MIN(Summary!$F54:$L54)))*100))</f>
        <v/>
      </c>
      <c r="D85" s="32">
        <f>IF(OR(Summary!G54="",Summary!$O54&lt;2),"",IF(MAX(Summary!$F54:$L54)=MIN(Summary!$F54:$L54),100,IF(Summary!$E54="Lower",(MAX(Summary!$F54:$L54)-Summary!G54)/(MAX(Summary!$F54:$L54)-MIN(Summary!$F54:$L54)),(Summary!G54-MIN(Summary!$F54:$L54))/(MAX(Summary!$F54:$L54)-MIN(Summary!$F54:$L54)))*100))</f>
        <v/>
      </c>
      <c r="E85" s="32">
        <f>IF(OR(Summary!H54="",Summary!$O54&lt;2),"",IF(MAX(Summary!$F54:$L54)=MIN(Summary!$F54:$L54),100,IF(Summary!$E54="Lower",(MAX(Summary!$F54:$L54)-Summary!H54)/(MAX(Summary!$F54:$L54)-MIN(Summary!$F54:$L54)),(Summary!H54-MIN(Summary!$F54:$L54))/(MAX(Summary!$F54:$L54)-MIN(Summary!$F54:$L54)))*100))</f>
        <v/>
      </c>
      <c r="F85" s="32">
        <f>IF(OR(Summary!I54="",Summary!$O54&lt;2),"",IF(MAX(Summary!$F54:$L54)=MIN(Summary!$F54:$L54),100,IF(Summary!$E54="Lower",(MAX(Summary!$F54:$L54)-Summary!I54)/(MAX(Summary!$F54:$L54)-MIN(Summary!$F54:$L54)),(Summary!I54-MIN(Summary!$F54:$L54))/(MAX(Summary!$F54:$L54)-MIN(Summary!$F54:$L54)))*100))</f>
        <v/>
      </c>
      <c r="G85" s="32">
        <f>IF(OR(Summary!J54="",Summary!$O54&lt;2),"",IF(MAX(Summary!$F54:$L54)=MIN(Summary!$F54:$L54),100,IF(Summary!$E54="Lower",(MAX(Summary!$F54:$L54)-Summary!J54)/(MAX(Summary!$F54:$L54)-MIN(Summary!$F54:$L54)),(Summary!J54-MIN(Summary!$F54:$L54))/(MAX(Summary!$F54:$L54)-MIN(Summary!$F54:$L54)))*100))</f>
        <v/>
      </c>
      <c r="H85" s="32">
        <f>IF(OR(Summary!K54="",Summary!$O54&lt;2),"",IF(MAX(Summary!$F54:$L54)=MIN(Summary!$F54:$L54),100,IF(Summary!$E54="Lower",(MAX(Summary!$F54:$L54)-Summary!K54)/(MAX(Summary!$F54:$L54)-MIN(Summary!$F54:$L54)),(Summary!K54-MIN(Summary!$F54:$L54))/(MAX(Summary!$F54:$L54)-MIN(Summary!$F54:$L54)))*100))</f>
        <v/>
      </c>
      <c r="I85" s="32">
        <f>IF(OR(Summary!L54="",Summary!$O54&lt;2),"",IF(MAX(Summary!$F54:$L54)=MIN(Summary!$F54:$L54),100,IF(Summary!$E54="Lower",(MAX(Summary!$F54:$L54)-Summary!L54)/(MAX(Summary!$F54:$L54)-MIN(Summary!$F54:$L54)),(Summary!L54-MIN(Summary!$F54:$L54))/(MAX(Summary!$F54:$L54)-MIN(Summary!$F54:$L54)))*100))</f>
        <v/>
      </c>
    </row>
    <row r="86">
      <c r="A86" s="7">
        <f>Summary!A55</f>
        <v/>
      </c>
      <c r="B86" s="7">
        <f>Summary!B55</f>
        <v/>
      </c>
      <c r="C86" s="31">
        <f>IF(OR(Summary!F55="",Summary!$O55&lt;2),"",IF(MAX(Summary!$F55:$L55)=MIN(Summary!$F55:$L55),100,IF(Summary!$E55="Lower",(MAX(Summary!$F55:$L55)-Summary!F55)/(MAX(Summary!$F55:$L55)-MIN(Summary!$F55:$L55)),(Summary!F55-MIN(Summary!$F55:$L55))/(MAX(Summary!$F55:$L55)-MIN(Summary!$F55:$L55)))*100))</f>
        <v/>
      </c>
      <c r="D86" s="32">
        <f>IF(OR(Summary!G55="",Summary!$O55&lt;2),"",IF(MAX(Summary!$F55:$L55)=MIN(Summary!$F55:$L55),100,IF(Summary!$E55="Lower",(MAX(Summary!$F55:$L55)-Summary!G55)/(MAX(Summary!$F55:$L55)-MIN(Summary!$F55:$L55)),(Summary!G55-MIN(Summary!$F55:$L55))/(MAX(Summary!$F55:$L55)-MIN(Summary!$F55:$L55)))*100))</f>
        <v/>
      </c>
      <c r="E86" s="32">
        <f>IF(OR(Summary!H55="",Summary!$O55&lt;2),"",IF(MAX(Summary!$F55:$L55)=MIN(Summary!$F55:$L55),100,IF(Summary!$E55="Lower",(MAX(Summary!$F55:$L55)-Summary!H55)/(MAX(Summary!$F55:$L55)-MIN(Summary!$F55:$L55)),(Summary!H55-MIN(Summary!$F55:$L55))/(MAX(Summary!$F55:$L55)-MIN(Summary!$F55:$L55)))*100))</f>
        <v/>
      </c>
      <c r="F86" s="32">
        <f>IF(OR(Summary!I55="",Summary!$O55&lt;2),"",IF(MAX(Summary!$F55:$L55)=MIN(Summary!$F55:$L55),100,IF(Summary!$E55="Lower",(MAX(Summary!$F55:$L55)-Summary!I55)/(MAX(Summary!$F55:$L55)-MIN(Summary!$F55:$L55)),(Summary!I55-MIN(Summary!$F55:$L55))/(MAX(Summary!$F55:$L55)-MIN(Summary!$F55:$L55)))*100))</f>
        <v/>
      </c>
      <c r="G86" s="32">
        <f>IF(OR(Summary!J55="",Summary!$O55&lt;2),"",IF(MAX(Summary!$F55:$L55)=MIN(Summary!$F55:$L55),100,IF(Summary!$E55="Lower",(MAX(Summary!$F55:$L55)-Summary!J55)/(MAX(Summary!$F55:$L55)-MIN(Summary!$F55:$L55)),(Summary!J55-MIN(Summary!$F55:$L55))/(MAX(Summary!$F55:$L55)-MIN(Summary!$F55:$L55)))*100))</f>
        <v/>
      </c>
      <c r="H86" s="32">
        <f>IF(OR(Summary!K55="",Summary!$O55&lt;2),"",IF(MAX(Summary!$F55:$L55)=MIN(Summary!$F55:$L55),100,IF(Summary!$E55="Lower",(MAX(Summary!$F55:$L55)-Summary!K55)/(MAX(Summary!$F55:$L55)-MIN(Summary!$F55:$L55)),(Summary!K55-MIN(Summary!$F55:$L55))/(MAX(Summary!$F55:$L55)-MIN(Summary!$F55:$L55)))*100))</f>
        <v/>
      </c>
      <c r="I86" s="32">
        <f>IF(OR(Summary!L55="",Summary!$O55&lt;2),"",IF(MAX(Summary!$F55:$L55)=MIN(Summary!$F55:$L55),100,IF(Summary!$E55="Lower",(MAX(Summary!$F55:$L55)-Summary!L55)/(MAX(Summary!$F55:$L55)-MIN(Summary!$F55:$L55)),(Summary!L55-MIN(Summary!$F55:$L55))/(MAX(Summary!$F55:$L55)-MIN(Summary!$F55:$L55)))*100))</f>
        <v/>
      </c>
    </row>
    <row r="87">
      <c r="A87" s="7">
        <f>Summary!A56</f>
        <v/>
      </c>
      <c r="B87" s="7">
        <f>Summary!B56</f>
        <v/>
      </c>
      <c r="C87" s="31">
        <f>IF(OR(Summary!F56="",Summary!$O56&lt;2),"",IF(MAX(Summary!$F56:$L56)=MIN(Summary!$F56:$L56),100,IF(Summary!$E56="Lower",(MAX(Summary!$F56:$L56)-Summary!F56)/(MAX(Summary!$F56:$L56)-MIN(Summary!$F56:$L56)),(Summary!F56-MIN(Summary!$F56:$L56))/(MAX(Summary!$F56:$L56)-MIN(Summary!$F56:$L56)))*100))</f>
        <v/>
      </c>
      <c r="D87" s="32">
        <f>IF(OR(Summary!G56="",Summary!$O56&lt;2),"",IF(MAX(Summary!$F56:$L56)=MIN(Summary!$F56:$L56),100,IF(Summary!$E56="Lower",(MAX(Summary!$F56:$L56)-Summary!G56)/(MAX(Summary!$F56:$L56)-MIN(Summary!$F56:$L56)),(Summary!G56-MIN(Summary!$F56:$L56))/(MAX(Summary!$F56:$L56)-MIN(Summary!$F56:$L56)))*100))</f>
        <v/>
      </c>
      <c r="E87" s="32">
        <f>IF(OR(Summary!H56="",Summary!$O56&lt;2),"",IF(MAX(Summary!$F56:$L56)=MIN(Summary!$F56:$L56),100,IF(Summary!$E56="Lower",(MAX(Summary!$F56:$L56)-Summary!H56)/(MAX(Summary!$F56:$L56)-MIN(Summary!$F56:$L56)),(Summary!H56-MIN(Summary!$F56:$L56))/(MAX(Summary!$F56:$L56)-MIN(Summary!$F56:$L56)))*100))</f>
        <v/>
      </c>
      <c r="F87" s="32">
        <f>IF(OR(Summary!I56="",Summary!$O56&lt;2),"",IF(MAX(Summary!$F56:$L56)=MIN(Summary!$F56:$L56),100,IF(Summary!$E56="Lower",(MAX(Summary!$F56:$L56)-Summary!I56)/(MAX(Summary!$F56:$L56)-MIN(Summary!$F56:$L56)),(Summary!I56-MIN(Summary!$F56:$L56))/(MAX(Summary!$F56:$L56)-MIN(Summary!$F56:$L56)))*100))</f>
        <v/>
      </c>
      <c r="G87" s="32">
        <f>IF(OR(Summary!J56="",Summary!$O56&lt;2),"",IF(MAX(Summary!$F56:$L56)=MIN(Summary!$F56:$L56),100,IF(Summary!$E56="Lower",(MAX(Summary!$F56:$L56)-Summary!J56)/(MAX(Summary!$F56:$L56)-MIN(Summary!$F56:$L56)),(Summary!J56-MIN(Summary!$F56:$L56))/(MAX(Summary!$F56:$L56)-MIN(Summary!$F56:$L56)))*100))</f>
        <v/>
      </c>
      <c r="H87" s="32">
        <f>IF(OR(Summary!K56="",Summary!$O56&lt;2),"",IF(MAX(Summary!$F56:$L56)=MIN(Summary!$F56:$L56),100,IF(Summary!$E56="Lower",(MAX(Summary!$F56:$L56)-Summary!K56)/(MAX(Summary!$F56:$L56)-MIN(Summary!$F56:$L56)),(Summary!K56-MIN(Summary!$F56:$L56))/(MAX(Summary!$F56:$L56)-MIN(Summary!$F56:$L56)))*100))</f>
        <v/>
      </c>
      <c r="I87" s="32">
        <f>IF(OR(Summary!L56="",Summary!$O56&lt;2),"",IF(MAX(Summary!$F56:$L56)=MIN(Summary!$F56:$L56),100,IF(Summary!$E56="Lower",(MAX(Summary!$F56:$L56)-Summary!L56)/(MAX(Summary!$F56:$L56)-MIN(Summary!$F56:$L56)),(Summary!L56-MIN(Summary!$F56:$L56))/(MAX(Summary!$F56:$L56)-MIN(Summary!$F56:$L56)))*100))</f>
        <v/>
      </c>
    </row>
    <row r="89">
      <c r="A89" s="2" t="inlineStr">
        <is>
          <t>Method: for each metric, score = 100 × (worst − app) ÷ (worst − best), so the best app gets 100 and the worst gets 0 (needs at least 2 apps measured). Category score = average of its metric scores. Overall = weighted average of category scores, using only categories with data. 'Data coverage' shows how much of the total weight was measured for that app; compare apps fairly only when coverage is similar. Unranked apps (RISE UAT) take part in these formulas only if present; the combined report excludes them from ranks.</t>
        </is>
      </c>
    </row>
  </sheetData>
  <conditionalFormatting sqref="B6:D12">
    <cfRule type="expression" priority="1" dxfId="2">
      <formula>$B6="RISE"</formula>
    </cfRule>
  </conditionalFormatting>
  <conditionalFormatting sqref="C6:C12">
    <cfRule type="colorScale" priority="2">
      <colorScale>
        <cfvo type="num" val="0"/>
        <cfvo type="num" val="50"/>
        <cfvo type="num" val="100"/>
        <color rgb="00F8696B"/>
        <color rgb="00FFEB84"/>
        <color rgb="0063BE7B"/>
      </colorScale>
    </cfRule>
  </conditionalFormatting>
  <conditionalFormatting sqref="C17:I28">
    <cfRule type="colorScale" priority="2">
      <colorScale>
        <cfvo type="num" val="0"/>
        <cfvo type="num" val="50"/>
        <cfvo type="num" val="100"/>
        <color rgb="00F8696B"/>
        <color rgb="00FFEB84"/>
        <color rgb="0063BE7B"/>
      </colorScale>
    </cfRule>
  </conditionalFormatting>
  <conditionalFormatting sqref="C30:I30">
    <cfRule type="colorScale" priority="2">
      <colorScale>
        <cfvo type="num" val="0"/>
        <cfvo type="num" val="50"/>
        <cfvo type="num" val="100"/>
        <color rgb="00F8696B"/>
        <color rgb="00FFEB84"/>
        <color rgb="0063BE7B"/>
      </colorScale>
    </cfRule>
  </conditionalFormatting>
  <conditionalFormatting sqref="C38:I87">
    <cfRule type="colorScale" priority="2">
      <colorScale>
        <cfvo type="num" val="0"/>
        <cfvo type="num" val="50"/>
        <cfvo type="num" val="100"/>
        <color rgb="00F8696B"/>
        <color rgb="00FFEB84"/>
        <color rgb="0063BE7B"/>
      </colorScale>
    </cfRule>
  </conditionalFormatting>
  <conditionalFormatting sqref="B29">
    <cfRule type="cellIs" priority="6" operator="notEqual" dxfId="3">
      <formula>100</formula>
    </cfRule>
  </conditionalFormatting>
  <conditionalFormatting sqref="C32:I32">
    <cfRule type="cellIs" priority="7" operator="equal" dxfId="0">
      <formula>1</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4" topLeftCell="A5" activePane="bottomLeft" state="frozen"/>
      <selection pane="bottomLeft" activeCell="A1" sqref="A1"/>
    </sheetView>
  </sheetViews>
  <sheetFormatPr baseColWidth="8" defaultRowHeight="15"/>
  <cols>
    <col width="6" customWidth="1" min="1" max="1"/>
    <col width="20" customWidth="1" min="2" max="2"/>
    <col width="44" customWidth="1" min="3" max="3"/>
    <col width="7" customWidth="1" min="4" max="4"/>
    <col width="8" customWidth="1" min="5" max="5"/>
    <col width="20" customWidth="1" min="6" max="6"/>
    <col width="20" customWidth="1" min="7" max="7"/>
    <col width="90" customWidth="1" min="8" max="8"/>
  </cols>
  <sheetData>
    <row r="1">
      <c r="A1" s="1" t="inlineStr">
        <is>
          <t>Metric Catalogue</t>
        </is>
      </c>
    </row>
    <row r="2">
      <c r="A2" s="2" t="inlineStr">
        <is>
          <t>Every metric in the benchmark: what it measures, which tool, and exactly how to take the reading.</t>
        </is>
      </c>
    </row>
    <row r="4" ht="32" customHeight="1">
      <c r="A4" s="10" t="inlineStr">
        <is>
          <t>ID</t>
        </is>
      </c>
      <c r="B4" s="10" t="inlineStr">
        <is>
          <t>Category</t>
        </is>
      </c>
      <c r="C4" s="10" t="inlineStr">
        <is>
          <t>Metric</t>
        </is>
      </c>
      <c r="D4" s="10" t="inlineStr">
        <is>
          <t>Unit</t>
        </is>
      </c>
      <c r="E4" s="10" t="inlineStr">
        <is>
          <t>Better</t>
        </is>
      </c>
      <c r="F4" s="10" t="inlineStr">
        <is>
          <t>Recorded on tab</t>
        </is>
      </c>
      <c r="G4" s="10" t="inlineStr">
        <is>
          <t>Tool</t>
        </is>
      </c>
      <c r="H4" s="10" t="inlineStr">
        <is>
          <t>How to measure</t>
        </is>
      </c>
    </row>
    <row r="5">
      <c r="A5" s="11" t="inlineStr">
        <is>
          <t>L1</t>
        </is>
      </c>
      <c r="B5" s="11" t="inlineStr">
        <is>
          <t>Loading Time</t>
        </is>
      </c>
      <c r="C5" s="11" t="inlineStr">
        <is>
          <t>Cold start (OS-reported launch time)</t>
        </is>
      </c>
      <c r="D5" s="11" t="inlineStr">
        <is>
          <t>ms</t>
        </is>
      </c>
      <c r="E5" s="11" t="inlineStr">
        <is>
          <t>Lower</t>
        </is>
      </c>
      <c r="F5" s="11" t="inlineStr">
        <is>
          <t>1 Load &amp; Network</t>
        </is>
      </c>
      <c r="G5" s="11" t="inlineStr">
        <is>
          <t>ADB (bench.py)</t>
        </is>
      </c>
      <c r="H5" s="11" t="inlineStr">
        <is>
          <t>adb shell am force-stop &lt;pkg&gt;, then adb shell am start -W -n &lt;pkg&gt;/&lt;activity&gt; and read TotalTime. bench.py --group coldstart does this.</t>
        </is>
      </c>
    </row>
    <row r="6">
      <c r="A6" s="11" t="inlineStr">
        <is>
          <t>L2</t>
        </is>
      </c>
      <c r="B6" s="11" t="inlineStr">
        <is>
          <t>Loading Time</t>
        </is>
      </c>
      <c r="C6" s="11" t="inlineStr">
        <is>
          <t>PIN/biometric submit → home fully rendered</t>
        </is>
      </c>
      <c r="D6" s="11" t="inlineStr">
        <is>
          <t>ms</t>
        </is>
      </c>
      <c r="E6" s="11" t="inlineStr">
        <is>
          <t>Lower</t>
        </is>
      </c>
      <c r="F6" s="11" t="inlineStr">
        <is>
          <t>1 Load &amp; Network</t>
        </is>
      </c>
      <c r="G6" s="11" t="inlineStr">
        <is>
          <t>scrcpy</t>
        </is>
      </c>
      <c r="H6" s="11" t="inlineStr">
        <is>
          <t>Record with scrcpy --record. Count frames from the PIN-submit frame to the frame where home stops changing, then divide by the recording fps.</t>
        </is>
      </c>
    </row>
    <row r="7">
      <c r="A7" s="11" t="inlineStr">
        <is>
          <t>L3</t>
        </is>
      </c>
      <c r="B7" s="11" t="inlineStr">
        <is>
          <t>Loading Time</t>
        </is>
      </c>
      <c r="C7" s="11" t="inlineStr">
        <is>
          <t>Watchlist tab &gt; Bench 20 → Bench 20 symbols (20 stocks, A–Z) fully rendered (first open, Medium account)</t>
        </is>
      </c>
      <c r="D7" s="11" t="inlineStr">
        <is>
          <t>ms</t>
        </is>
      </c>
      <c r="E7" s="11" t="inlineStr">
        <is>
          <t>Lower</t>
        </is>
      </c>
      <c r="F7" s="11" t="inlineStr">
        <is>
          <t>1 Load &amp; Network</t>
        </is>
      </c>
      <c r="G7" s="11" t="inlineStr">
        <is>
          <t>scrcpy</t>
        </is>
      </c>
      <c r="H7" s="11" t="inlineStr">
        <is>
          <t>Same frame-count method. 'Fully rendered' means every value in Bench 20 symbols (20 stocks, A–Z) is visible with no loader or shimmer.</t>
        </is>
      </c>
    </row>
    <row r="8">
      <c r="A8" s="11" t="inlineStr">
        <is>
          <t>L4</t>
        </is>
      </c>
      <c r="B8" s="11" t="inlineStr">
        <is>
          <t>Loading Time</t>
        </is>
      </c>
      <c r="C8" s="11" t="inlineStr">
        <is>
          <t>Watchlist tab &gt; Bench 20 re-open (second visit in same session)</t>
        </is>
      </c>
      <c r="D8" s="11" t="inlineStr">
        <is>
          <t>ms</t>
        </is>
      </c>
      <c r="E8" s="11" t="inlineStr">
        <is>
          <t>Lower</t>
        </is>
      </c>
      <c r="F8" s="11" t="inlineStr">
        <is>
          <t>1 Load &amp; Network</t>
        </is>
      </c>
      <c r="G8" s="11" t="inlineStr">
        <is>
          <t>scrcpy</t>
        </is>
      </c>
      <c r="H8" s="11" t="inlineStr">
        <is>
          <t>Leave Watchlist tab &gt; Bench 20 for another tab, come back, and measure until fully rendered. Shows in-memory caching.</t>
        </is>
      </c>
    </row>
    <row r="9">
      <c r="A9" s="11" t="inlineStr">
        <is>
          <t>L5</t>
        </is>
      </c>
      <c r="B9" s="11" t="inlineStr">
        <is>
          <t>Loading Time</t>
        </is>
      </c>
      <c r="C9" s="11" t="inlineStr">
        <is>
          <t>stock quote page open</t>
        </is>
      </c>
      <c r="D9" s="11" t="inlineStr">
        <is>
          <t>ms</t>
        </is>
      </c>
      <c r="E9" s="11" t="inlineStr">
        <is>
          <t>Lower</t>
        </is>
      </c>
      <c r="F9" s="11" t="inlineStr">
        <is>
          <t>1 Load &amp; Network</t>
        </is>
      </c>
      <c r="G9" s="11" t="inlineStr">
        <is>
          <t>scrcpy</t>
        </is>
      </c>
      <c r="H9" s="11" t="inlineStr">
        <is>
          <t>Tap the first item in Bench 20 symbols (20 stocks, A–Z) and measure until stock quote page is fully rendered.</t>
        </is>
      </c>
    </row>
    <row r="10">
      <c r="A10" s="11" t="inlineStr">
        <is>
          <t>L6</t>
        </is>
      </c>
      <c r="B10" s="11" t="inlineStr">
        <is>
          <t>Loading Time</t>
        </is>
      </c>
      <c r="C10" s="11" t="inlineStr">
        <is>
          <t>Pull-to-refresh complete on Watchlist tab &gt; Bench 20</t>
        </is>
      </c>
      <c r="D10" s="11" t="inlineStr">
        <is>
          <t>ms</t>
        </is>
      </c>
      <c r="E10" s="11" t="inlineStr">
        <is>
          <t>Lower</t>
        </is>
      </c>
      <c r="F10" s="11" t="inlineStr">
        <is>
          <t>1 Load &amp; Network</t>
        </is>
      </c>
      <c r="G10" s="11" t="inlineStr">
        <is>
          <t>scrcpy</t>
        </is>
      </c>
      <c r="H10" s="11" t="inlineStr">
        <is>
          <t>Measure from release of the pull gesture until the refresh indicator disappears and values update.</t>
        </is>
      </c>
    </row>
    <row r="11">
      <c r="A11" s="11" t="inlineStr">
        <is>
          <t>L7</t>
        </is>
      </c>
      <c r="B11" s="11" t="inlineStr">
        <is>
          <t>Loading Time</t>
        </is>
      </c>
      <c r="C11" s="11" t="inlineStr">
        <is>
          <t>Warm resume after 30 s in background (on Watchlist tab &gt; Bench 20)</t>
        </is>
      </c>
      <c r="D11" s="11" t="inlineStr">
        <is>
          <t>ms</t>
        </is>
      </c>
      <c r="E11" s="11" t="inlineStr">
        <is>
          <t>Lower</t>
        </is>
      </c>
      <c r="F11" s="11" t="inlineStr">
        <is>
          <t>1 Load &amp; Network</t>
        </is>
      </c>
      <c r="G11" s="11" t="inlineStr">
        <is>
          <t>scrcpy</t>
        </is>
      </c>
      <c r="H11" s="11" t="inlineStr">
        <is>
          <t>On Watchlist tab &gt; Bench 20, press Home, wait 30 s, reopen from Recents. Measure until Watchlist tab &gt; Bench 20 is interactive with fresh data. Note if it asks for the PIN again.</t>
        </is>
      </c>
    </row>
    <row r="12">
      <c r="A12" s="11" t="inlineStr">
        <is>
          <t>L8</t>
        </is>
      </c>
      <c r="B12" s="11" t="inlineStr">
        <is>
          <t>Loading Time</t>
        </is>
      </c>
      <c r="C12" s="11" t="inlineStr">
        <is>
          <t>Resume after 5 min in background (on Watchlist tab &gt; Bench 20)</t>
        </is>
      </c>
      <c r="D12" s="11" t="inlineStr">
        <is>
          <t>ms</t>
        </is>
      </c>
      <c r="E12" s="11" t="inlineStr">
        <is>
          <t>Lower</t>
        </is>
      </c>
      <c r="F12" s="11" t="inlineStr">
        <is>
          <t>1 Load &amp; Network</t>
        </is>
      </c>
      <c r="G12" s="11" t="inlineStr">
        <is>
          <t>scrcpy</t>
        </is>
      </c>
      <c r="H12" s="11" t="inlineStr">
        <is>
          <t>Same as L7 with a 5-minute wait. Note if it asks for the PIN again or reloads fully.</t>
        </is>
      </c>
    </row>
    <row r="13">
      <c r="A13" s="11" t="inlineStr">
        <is>
          <t>L9</t>
        </is>
      </c>
      <c r="B13" s="11" t="inlineStr">
        <is>
          <t>User-wise</t>
        </is>
      </c>
      <c r="C13" s="11" t="inlineStr">
        <is>
          <t>Watchlist tab &gt; Bench 20 load – Small account</t>
        </is>
      </c>
      <c r="D13" s="11" t="inlineStr">
        <is>
          <t>ms</t>
        </is>
      </c>
      <c r="E13" s="11" t="inlineStr">
        <is>
          <t>Lower</t>
        </is>
      </c>
      <c r="F13" s="11" t="inlineStr">
        <is>
          <t>1 Load &amp; Network</t>
        </is>
      </c>
      <c r="G13" s="11" t="inlineStr">
        <is>
          <t>scrcpy</t>
        </is>
      </c>
      <c r="H13" s="11" t="inlineStr">
        <is>
          <t>L3 method on the Small test account.</t>
        </is>
      </c>
    </row>
    <row r="14">
      <c r="A14" s="11" t="inlineStr">
        <is>
          <t>L10</t>
        </is>
      </c>
      <c r="B14" s="11" t="inlineStr">
        <is>
          <t>User-wise</t>
        </is>
      </c>
      <c r="C14" s="11" t="inlineStr">
        <is>
          <t>Watchlist tab &gt; Bench 20 load – Large account</t>
        </is>
      </c>
      <c r="D14" s="11" t="inlineStr">
        <is>
          <t>ms</t>
        </is>
      </c>
      <c r="E14" s="11" t="inlineStr">
        <is>
          <t>Lower</t>
        </is>
      </c>
      <c r="F14" s="11" t="inlineStr">
        <is>
          <t>1 Load &amp; Network</t>
        </is>
      </c>
      <c r="G14" s="11" t="inlineStr">
        <is>
          <t>scrcpy</t>
        </is>
      </c>
      <c r="H14" s="11" t="inlineStr">
        <is>
          <t>L3 method on the Large test account.</t>
        </is>
      </c>
    </row>
    <row r="15">
      <c r="A15" s="11" t="inlineStr">
        <is>
          <t>L11</t>
        </is>
      </c>
      <c r="B15" s="11" t="inlineStr">
        <is>
          <t>API / Network</t>
        </is>
      </c>
      <c r="C15" s="11" t="inlineStr">
        <is>
          <t>Network connections during Watchlist tab &gt; Bench 20 load</t>
        </is>
      </c>
      <c r="D15" s="11" t="inlineStr">
        <is>
          <t>count</t>
        </is>
      </c>
      <c r="E15" s="11" t="inlineStr">
        <is>
          <t>Lower</t>
        </is>
      </c>
      <c r="F15" s="11" t="inlineStr">
        <is>
          <t>1 Load &amp; Network</t>
        </is>
      </c>
      <c r="G15" s="11" t="inlineStr">
        <is>
          <t>PCAPdroid</t>
        </is>
      </c>
      <c r="H15" s="11" t="inlineStr">
        <is>
          <t>In PCAPdroid, filter to the app and start capture. Open Watchlist tab &gt; Bench 20 cold and count the connections opened in the first 10 s.</t>
        </is>
      </c>
    </row>
    <row r="16">
      <c r="A16" s="11" t="inlineStr">
        <is>
          <t>L12</t>
        </is>
      </c>
      <c r="B16" s="11" t="inlineStr">
        <is>
          <t>API / Network</t>
        </is>
      </c>
      <c r="C16" s="11" t="inlineStr">
        <is>
          <t>Watchlist tab &gt; Bench 20 load on throttled network (~1 Mbps)</t>
        </is>
      </c>
      <c r="D16" s="11" t="inlineStr">
        <is>
          <t>ms</t>
        </is>
      </c>
      <c r="E16" s="11" t="inlineStr">
        <is>
          <t>Lower</t>
        </is>
      </c>
      <c r="F16" s="11" t="inlineStr">
        <is>
          <t>1 Load &amp; Network</t>
        </is>
      </c>
      <c r="G16" s="11" t="inlineStr">
        <is>
          <t>Developer options</t>
        </is>
      </c>
      <c r="H16" s="11" t="inlineStr">
        <is>
          <t>Phone: Developer options → Network download rate limit = 1 Mbps (note the value in env.csv). L3 method.</t>
        </is>
      </c>
    </row>
    <row r="17">
      <c r="A17" s="11" t="inlineStr">
        <is>
          <t>L13</t>
        </is>
      </c>
      <c r="B17" s="11" t="inlineStr">
        <is>
          <t>Offline</t>
        </is>
      </c>
      <c r="C17" s="11" t="inlineStr">
        <is>
          <t>Recovery after reconnect → fresh data shown on Watchlist tab &gt; Bench 20</t>
        </is>
      </c>
      <c r="D17" s="11" t="inlineStr">
        <is>
          <t>ms</t>
        </is>
      </c>
      <c r="E17" s="11" t="inlineStr">
        <is>
          <t>Lower</t>
        </is>
      </c>
      <c r="F17" s="11" t="inlineStr">
        <is>
          <t>1 Load &amp; Network</t>
        </is>
      </c>
      <c r="G17" s="11" t="inlineStr">
        <is>
          <t>scrcpy</t>
        </is>
      </c>
      <c r="H17" s="11" t="inlineStr">
        <is>
          <t>On Watchlist tab &gt; Bench 20, turn airplane mode on for 30 s, then off. Measure from Wi-Fi reconnect (status bar icon) to updated values.</t>
        </is>
      </c>
    </row>
    <row r="18">
      <c r="A18" s="11" t="inlineStr">
        <is>
          <t>L14</t>
        </is>
      </c>
      <c r="B18" s="11" t="inlineStr">
        <is>
          <t>Loading Time</t>
        </is>
      </c>
      <c r="C18" s="11" t="inlineStr">
        <is>
          <t>In-screen tab / sub-section switch on Watchlist tab &gt; Bench 20, tap to content</t>
        </is>
      </c>
      <c r="D18" s="11" t="inlineStr">
        <is>
          <t>ms</t>
        </is>
      </c>
      <c r="E18" s="11" t="inlineStr">
        <is>
          <t>Lower</t>
        </is>
      </c>
      <c r="F18" s="11" t="inlineStr">
        <is>
          <t>1 Load &amp; Network</t>
        </is>
      </c>
      <c r="G18" s="11" t="inlineStr">
        <is>
          <t>scrcpy</t>
        </is>
      </c>
      <c r="H18" s="11" t="inlineStr">
        <is>
          <t>On Watchlist tab &gt; Bench 20, tap a sibling tab or sub-section (e.g. Overview → Technicals). Frame-count from the tap to the new content fully drawn. Note which tab in the note.</t>
        </is>
      </c>
    </row>
    <row r="19">
      <c r="A19" s="11" t="inlineStr">
        <is>
          <t>L15</t>
        </is>
      </c>
      <c r="B19" s="11" t="inlineStr">
        <is>
          <t>API / Network</t>
        </is>
      </c>
      <c r="C19" s="11" t="inlineStr">
        <is>
          <t>Data per Watchlist tab &gt; Bench 20 open (received + sent, open + 8 s)</t>
        </is>
      </c>
      <c r="D19" s="11" t="inlineStr">
        <is>
          <t>KB</t>
        </is>
      </c>
      <c r="E19" s="11" t="inlineStr">
        <is>
          <t>Lower</t>
        </is>
      </c>
      <c r="F19" s="11" t="inlineStr">
        <is>
          <t>1 Load &amp; Network</t>
        </is>
      </c>
      <c r="G19" s="11" t="inlineStr">
        <is>
          <t>ADB netstats (bench.py)</t>
        </is>
      </c>
      <c r="H19" s="11" t="inlineStr">
        <is>
          <t>bench.py --group open: the app's UID byte counter from dumpsys netstats before the tap that opens Watchlist tab &gt; Bench 20 and 8 s after it is loaded.</t>
        </is>
      </c>
    </row>
    <row r="20">
      <c r="A20" s="11" t="inlineStr">
        <is>
          <t>S1</t>
        </is>
      </c>
      <c r="B20" s="11" t="inlineStr">
        <is>
          <t>Scroll &amp; Gesture</t>
        </is>
      </c>
      <c r="C20" s="11" t="inlineStr">
        <is>
          <t>Janky frames while scrolling Bench 20 symbols (20 stocks, A–Z) (Medium account)</t>
        </is>
      </c>
      <c r="D20" s="11" t="inlineStr">
        <is>
          <t>%</t>
        </is>
      </c>
      <c r="E20" s="11" t="inlineStr">
        <is>
          <t>Lower</t>
        </is>
      </c>
      <c r="F20" s="11" t="inlineStr">
        <is>
          <t>2 Scroll FPS</t>
        </is>
      </c>
      <c r="G20" s="11" t="inlineStr">
        <is>
          <t>Perfetto (bench.py)</t>
        </is>
      </c>
      <c r="H20" s="11" t="inlineStr">
        <is>
          <t>bench.py --group scroll records a Perfetto FrameTimeline trace during 10 identical scripted flings on Bench 20 symbols (20 stocks, A–Z). Janky = frames with a jank type other than None / Buffer Stuffing. Same for Native and Flutter apps.</t>
        </is>
      </c>
    </row>
    <row r="21">
      <c r="A21" s="11" t="inlineStr">
        <is>
          <t>S2</t>
        </is>
      </c>
      <c r="B21" s="11" t="inlineStr">
        <is>
          <t>Scroll &amp; Gesture</t>
        </is>
      </c>
      <c r="C21" s="11" t="inlineStr">
        <is>
          <t>Frame duration – 50th percentile</t>
        </is>
      </c>
      <c r="D21" s="11" t="inlineStr">
        <is>
          <t>ms</t>
        </is>
      </c>
      <c r="E21" s="11" t="inlineStr">
        <is>
          <t>Lower</t>
        </is>
      </c>
      <c r="F21" s="11" t="inlineStr">
        <is>
          <t>2 Scroll FPS</t>
        </is>
      </c>
      <c r="G21" s="11" t="inlineStr">
        <is>
          <t>Perfetto (bench.py)</t>
        </is>
      </c>
      <c r="H21" s="11" t="inlineStr">
        <is>
          <t>Same trace: time from the app starting a frame to that frame being on screen.</t>
        </is>
      </c>
    </row>
    <row r="22">
      <c r="A22" s="11" t="inlineStr">
        <is>
          <t>S3</t>
        </is>
      </c>
      <c r="B22" s="11" t="inlineStr">
        <is>
          <t>Scroll &amp; Gesture</t>
        </is>
      </c>
      <c r="C22" s="11" t="inlineStr">
        <is>
          <t>Frame duration – 90th percentile</t>
        </is>
      </c>
      <c r="D22" s="11" t="inlineStr">
        <is>
          <t>ms</t>
        </is>
      </c>
      <c r="E22" s="11" t="inlineStr">
        <is>
          <t>Lower</t>
        </is>
      </c>
      <c r="F22" s="11" t="inlineStr">
        <is>
          <t>2 Scroll FPS</t>
        </is>
      </c>
      <c r="G22" s="11" t="inlineStr">
        <is>
          <t>Perfetto (bench.py)</t>
        </is>
      </c>
      <c r="H22" s="11" t="inlineStr">
        <is>
          <t>Same trace, 90th percentile.</t>
        </is>
      </c>
    </row>
    <row r="23">
      <c r="A23" s="11" t="inlineStr">
        <is>
          <t>S4</t>
        </is>
      </c>
      <c r="B23" s="11" t="inlineStr">
        <is>
          <t>Scroll &amp; Gesture</t>
        </is>
      </c>
      <c r="C23" s="11" t="inlineStr">
        <is>
          <t>Frame duration – 99th percentile</t>
        </is>
      </c>
      <c r="D23" s="11" t="inlineStr">
        <is>
          <t>ms</t>
        </is>
      </c>
      <c r="E23" s="11" t="inlineStr">
        <is>
          <t>Lower</t>
        </is>
      </c>
      <c r="F23" s="11" t="inlineStr">
        <is>
          <t>2 Scroll FPS</t>
        </is>
      </c>
      <c r="G23" s="11" t="inlineStr">
        <is>
          <t>Perfetto (bench.py)</t>
        </is>
      </c>
      <c r="H23" s="11" t="inlineStr">
        <is>
          <t>Same trace, 99th percentile.</t>
        </is>
      </c>
    </row>
    <row r="24">
      <c r="A24" s="11" t="inlineStr">
        <is>
          <t>S5</t>
        </is>
      </c>
      <c r="B24" s="11" t="inlineStr">
        <is>
          <t>Scroll &amp; Gesture</t>
        </is>
      </c>
      <c r="C24" s="11" t="inlineStr">
        <is>
          <t>Average FPS while scrolling Bench 20 symbols (20 stocks, A–Z)</t>
        </is>
      </c>
      <c r="D24" s="11" t="inlineStr">
        <is>
          <t>fps</t>
        </is>
      </c>
      <c r="E24" s="11" t="inlineStr">
        <is>
          <t>Higher</t>
        </is>
      </c>
      <c r="F24" s="11" t="inlineStr">
        <is>
          <t>2 Scroll FPS</t>
        </is>
      </c>
      <c r="G24" s="11" t="inlineStr">
        <is>
          <t>Perfetto (bench.py)</t>
        </is>
      </c>
      <c r="H24" s="11" t="inlineStr">
        <is>
          <t>Same trace: 1000 ÷ average gap between frames, ignoring idle gaps over 100 ms. Capped by the display refresh rate (recorded in env.csv).</t>
        </is>
      </c>
    </row>
    <row r="25">
      <c r="A25" s="11" t="inlineStr">
        <is>
          <t>S6</t>
        </is>
      </c>
      <c r="B25" s="11" t="inlineStr">
        <is>
          <t>User-wise</t>
        </is>
      </c>
      <c r="C25" s="11" t="inlineStr">
        <is>
          <t>Janky frames – Large account</t>
        </is>
      </c>
      <c r="D25" s="11" t="inlineStr">
        <is>
          <t>%</t>
        </is>
      </c>
      <c r="E25" s="11" t="inlineStr">
        <is>
          <t>Lower</t>
        </is>
      </c>
      <c r="F25" s="11" t="inlineStr">
        <is>
          <t>2 Scroll FPS</t>
        </is>
      </c>
      <c r="G25" s="11" t="inlineStr">
        <is>
          <t>Perfetto (bench.py)</t>
        </is>
      </c>
      <c r="H25" s="11" t="inlineStr">
        <is>
          <t>S1 method with the Large account logged in.</t>
        </is>
      </c>
    </row>
    <row r="26">
      <c r="A26" s="11" t="inlineStr">
        <is>
          <t>S7</t>
        </is>
      </c>
      <c r="B26" s="11" t="inlineStr">
        <is>
          <t>Scroll &amp; Gesture</t>
        </is>
      </c>
      <c r="C26" s="11" t="inlineStr">
        <is>
          <t>Gesture jank on non-list interactions of Watchlist tab &gt; Bench 20 (chart range, scrub, tab swipe)</t>
        </is>
      </c>
      <c r="D26" s="11" t="inlineStr">
        <is>
          <t>%</t>
        </is>
      </c>
      <c r="E26" s="11" t="inlineStr">
        <is>
          <t>Lower</t>
        </is>
      </c>
      <c r="F26" s="11" t="inlineStr">
        <is>
          <t>2 Scroll FPS</t>
        </is>
      </c>
      <c r="G26" s="11" t="inlineStr">
        <is>
          <t>Perfetto (bench.py)</t>
        </is>
      </c>
      <c r="H26" s="11" t="inlineStr">
        <is>
          <t>bench.py --group gesture plays the module's scripted gestures for this app under a Perfetto trace and reports janky %. If the module defines no gestures for the app, record it by hand: dumpsys gfxinfo reset, perform the gestures, dumpsys gfxinfo (native apps only).</t>
        </is>
      </c>
    </row>
    <row r="27">
      <c r="A27" s="11" t="inlineStr">
        <is>
          <t>U1</t>
        </is>
      </c>
      <c r="B27" s="11" t="inlineStr">
        <is>
          <t>Screen Updation</t>
        </is>
      </c>
      <c r="C27" s="11" t="inlineStr">
        <is>
          <t>LTP updates per minute on Watchlist tab &gt; Bench 20 (same symbol, market hours)</t>
        </is>
      </c>
      <c r="D27" s="11" t="inlineStr">
        <is>
          <t>/min</t>
        </is>
      </c>
      <c r="E27" s="11" t="inlineStr">
        <is>
          <t>Higher</t>
        </is>
      </c>
      <c r="F27" s="11" t="inlineStr">
        <is>
          <t>3 Screen Updates</t>
        </is>
      </c>
      <c r="G27" s="11" t="inlineStr">
        <is>
          <t>scrcpy</t>
        </is>
      </c>
      <c r="H27" s="11" t="inlineStr">
        <is>
          <t>During market hours, record 2 min on a liquid symbol present on every app. Count visible LTP changes and divide by 2.</t>
        </is>
      </c>
    </row>
    <row r="28">
      <c r="A28" s="11" t="inlineStr">
        <is>
          <t>U2</t>
        </is>
      </c>
      <c r="B28" s="11" t="inlineStr">
        <is>
          <t>Screen Updation</t>
        </is>
      </c>
      <c r="C28" s="11" t="inlineStr">
        <is>
          <t>Tick lag vs reference feed</t>
        </is>
      </c>
      <c r="D28" s="11" t="inlineStr">
        <is>
          <t>ms</t>
        </is>
      </c>
      <c r="E28" s="11" t="inlineStr">
        <is>
          <t>Lower</t>
        </is>
      </c>
      <c r="F28" s="11" t="inlineStr">
        <is>
          <t>3 Screen Updates</t>
        </is>
      </c>
      <c r="G28" s="11" t="inlineStr">
        <is>
          <t>Camera / scrcpy</t>
        </is>
      </c>
      <c r="H28" s="11" t="inlineStr">
        <is>
          <t>Optional. Film the app next to a reference terminal in one frame. Lag = time from the reference tick to the same price in the app.</t>
        </is>
      </c>
    </row>
    <row r="29">
      <c r="A29" s="11" t="inlineStr">
        <is>
          <t>U3</t>
        </is>
      </c>
      <c r="B29" s="11" t="inlineStr">
        <is>
          <t>Screen Updation</t>
        </is>
      </c>
      <c r="C29" s="11" t="inlineStr">
        <is>
          <t>Live updates resume after 1 min in background</t>
        </is>
      </c>
      <c r="D29" s="11" t="inlineStr">
        <is>
          <t>ms</t>
        </is>
      </c>
      <c r="E29" s="11" t="inlineStr">
        <is>
          <t>Lower</t>
        </is>
      </c>
      <c r="F29" s="11" t="inlineStr">
        <is>
          <t>3 Screen Updates</t>
        </is>
      </c>
      <c r="G29" s="11" t="inlineStr">
        <is>
          <t>scrcpy</t>
        </is>
      </c>
      <c r="H29" s="11" t="inlineStr">
        <is>
          <t>Background for 1 min, then return to Watchlist tab &gt; Bench 20. Measure until the first LTP tick is visible.</t>
        </is>
      </c>
    </row>
    <row r="30">
      <c r="A30" s="11" t="inlineStr">
        <is>
          <t>U4</t>
        </is>
      </c>
      <c r="B30" s="11" t="inlineStr">
        <is>
          <t>Screen Updation</t>
        </is>
      </c>
      <c r="C30" s="11" t="inlineStr">
        <is>
          <t>Idle redraw rate on Watchlist tab &gt; Bench 20 (frames per second, 60 s, no input)</t>
        </is>
      </c>
      <c r="D30" s="11" t="inlineStr">
        <is>
          <t>fps</t>
        </is>
      </c>
      <c r="E30" s="11" t="inlineStr">
        <is>
          <t>Lower</t>
        </is>
      </c>
      <c r="F30" s="11" t="inlineStr">
        <is>
          <t>3 Screen Updates</t>
        </is>
      </c>
      <c r="G30" s="11" t="inlineStr">
        <is>
          <t>Perfetto (bench.py)</t>
        </is>
      </c>
      <c r="H30" s="11" t="inlineStr">
        <is>
          <t>bench.py --group idle: a 60 s Perfetto FrameTimeline trace on Watchlist tab &gt; Bench 20 with no touch. Value = app frames ÷ 60. A high rate with few visible changes means the screen redraws on every socket message.</t>
        </is>
      </c>
    </row>
    <row r="31">
      <c r="A31" s="11" t="inlineStr">
        <is>
          <t>U5</t>
        </is>
      </c>
      <c r="B31" s="11" t="inlineStr">
        <is>
          <t>Screen Updation</t>
        </is>
      </c>
      <c r="C31" s="11" t="inlineStr">
        <is>
          <t>Wasted redraws on Watchlist tab &gt; Bench 20: idle frames identical to the previous frame</t>
        </is>
      </c>
      <c r="D31" s="11" t="inlineStr">
        <is>
          <t>%</t>
        </is>
      </c>
      <c r="E31" s="11" t="inlineStr">
        <is>
          <t>Lower</t>
        </is>
      </c>
      <c r="F31" s="11" t="inlineStr">
        <is>
          <t>3 Screen Updates</t>
        </is>
      </c>
      <c r="G31" s="11" t="inlineStr">
        <is>
          <t>screenrecord + ffmpeg (bench.py)</t>
        </is>
      </c>
      <c r="H31" s="11" t="inlineStr">
        <is>
          <t>bench.py --group idle --with-video: a separate 60 s screenrecord on Watchlist tab &gt; Bench 20, then ffmpeg mpdecimate counts frames that are pixel-identical to the previous one. Value = identical ÷ total × 100.</t>
        </is>
      </c>
    </row>
    <row r="32">
      <c r="A32" s="11" t="inlineStr">
        <is>
          <t>O1</t>
        </is>
      </c>
      <c r="B32" s="11" t="inlineStr">
        <is>
          <t>Offline</t>
        </is>
      </c>
      <c r="C32" s="11" t="inlineStr">
        <is>
          <t>Offline caching score</t>
        </is>
      </c>
      <c r="D32" s="11" t="inlineStr">
        <is>
          <t>%</t>
        </is>
      </c>
      <c r="E32" s="11" t="inlineStr">
        <is>
          <t>Higher</t>
        </is>
      </c>
      <c r="F32" s="11" t="inlineStr">
        <is>
          <t>4 Offline</t>
        </is>
      </c>
      <c r="G32" s="11" t="inlineStr">
        <is>
          <t>Manual (record.py --item)</t>
        </is>
      </c>
      <c r="H32" s="11" t="inlineStr">
        <is>
          <t>Answer every offline item in the module (Yes = 2, Partial = 1, No = 0, N/A excluded). The score is computed on tab '4 Offline'.</t>
        </is>
      </c>
    </row>
    <row r="33">
      <c r="A33" s="11" t="inlineStr">
        <is>
          <t>D1</t>
        </is>
      </c>
      <c r="B33" s="11" t="inlineStr">
        <is>
          <t>Data Pointers</t>
        </is>
      </c>
      <c r="C33" s="11" t="inlineStr">
        <is>
          <t>Data pointer / feature coverage</t>
        </is>
      </c>
      <c r="D33" s="11" t="inlineStr">
        <is>
          <t>%</t>
        </is>
      </c>
      <c r="E33" s="11" t="inlineStr">
        <is>
          <t>Higher</t>
        </is>
      </c>
      <c r="F33" s="11" t="inlineStr">
        <is>
          <t>5 Data Pointers</t>
        </is>
      </c>
      <c r="G33" s="11" t="inlineStr">
        <is>
          <t>Manual (record.py --item)</t>
        </is>
      </c>
      <c r="H33" s="11" t="inlineStr">
        <is>
          <t>Answer every data item in the module (Yes = 1, Partial = 0.5, No = 0, N/A excluded). The score is computed on tab '5 Data Pointers'.</t>
        </is>
      </c>
    </row>
    <row r="34">
      <c r="A34" s="11" t="inlineStr">
        <is>
          <t>X1</t>
        </is>
      </c>
      <c r="B34" s="11" t="inlineStr">
        <is>
          <t>External SDKs</t>
        </is>
      </c>
      <c r="C34" s="11" t="inlineStr">
        <is>
          <t>Trackers detected (Exodus)</t>
        </is>
      </c>
      <c r="D34" s="11" t="inlineStr">
        <is>
          <t>count</t>
        </is>
      </c>
      <c r="E34" s="11" t="inlineStr">
        <is>
          <t>Lower</t>
        </is>
      </c>
      <c r="F34" s="11" t="inlineStr">
        <is>
          <t>6 SDKs</t>
        </is>
      </c>
      <c r="G34" s="11" t="inlineStr">
        <is>
          <t>Exodus Privacy</t>
        </is>
      </c>
      <c r="H34" s="11" t="inlineStr">
        <is>
          <t>Search the app on exodus-privacy.eu.org and use the latest report for the Play Store version.</t>
        </is>
      </c>
    </row>
    <row r="35">
      <c r="A35" s="11" t="inlineStr">
        <is>
          <t>X2</t>
        </is>
      </c>
      <c r="B35" s="11" t="inlineStr">
        <is>
          <t>External SDKs</t>
        </is>
      </c>
      <c r="C35" s="11" t="inlineStr">
        <is>
          <t>Permissions requested (Exodus)</t>
        </is>
      </c>
      <c r="D35" s="11" t="inlineStr">
        <is>
          <t>count</t>
        </is>
      </c>
      <c r="E35" s="11" t="inlineStr">
        <is>
          <t>Lower</t>
        </is>
      </c>
      <c r="F35" s="11" t="inlineStr">
        <is>
          <t>6 SDKs</t>
        </is>
      </c>
      <c r="G35" s="11" t="inlineStr">
        <is>
          <t>Exodus Privacy</t>
        </is>
      </c>
      <c r="H35" s="11" t="inlineStr">
        <is>
          <t>Same Exodus report: permissions count.</t>
        </is>
      </c>
    </row>
    <row r="36">
      <c r="A36" s="11" t="inlineStr">
        <is>
          <t>X3</t>
        </is>
      </c>
      <c r="B36" s="11" t="inlineStr">
        <is>
          <t>External SDKs</t>
        </is>
      </c>
      <c r="C36" s="11" t="inlineStr">
        <is>
          <t>Third-party domains contacted on Watchlist tab &gt; Bench 20</t>
        </is>
      </c>
      <c r="D36" s="11" t="inlineStr">
        <is>
          <t>count</t>
        </is>
      </c>
      <c r="E36" s="11" t="inlineStr">
        <is>
          <t>Lower</t>
        </is>
      </c>
      <c r="F36" s="11" t="inlineStr">
        <is>
          <t>6 SDKs</t>
        </is>
      </c>
      <c r="G36" s="11" t="inlineStr">
        <is>
          <t>PCAPdroid</t>
        </is>
      </c>
      <c r="H36" s="11" t="inlineStr">
        <is>
          <t>PCAPdroid capture for 60 s on Watchlist tab &gt; Bench 20. Count unique domains that don't belong to the app's own company.</t>
        </is>
      </c>
    </row>
    <row r="37">
      <c r="A37" s="11" t="inlineStr">
        <is>
          <t>X4</t>
        </is>
      </c>
      <c r="B37" s="11" t="inlineStr">
        <is>
          <t>External SDKs</t>
        </is>
      </c>
      <c r="C37" s="11" t="inlineStr">
        <is>
          <t>Start-up lock contention: 'Long monitor contention' events before home</t>
        </is>
      </c>
      <c r="D37" s="11" t="inlineStr">
        <is>
          <t>count</t>
        </is>
      </c>
      <c r="E37" s="11" t="inlineStr">
        <is>
          <t>Lower</t>
        </is>
      </c>
      <c r="F37" s="11" t="inlineStr">
        <is>
          <t>6 SDKs</t>
        </is>
      </c>
      <c r="G37" s="11" t="inlineStr">
        <is>
          <t>ADB logcat (bench.py)</t>
        </is>
      </c>
      <c r="H37" s="11" t="inlineStr">
        <is>
          <t>bench.py --group coldstart clears logcat, cold-starts the app and counts 'Long monitor contention' lines from the app's process until home is up. The longest wait in ms goes in the note.</t>
        </is>
      </c>
    </row>
    <row r="38">
      <c r="A38" s="11" t="inlineStr">
        <is>
          <t>R1</t>
        </is>
      </c>
      <c r="B38" s="11" t="inlineStr">
        <is>
          <t>RAM</t>
        </is>
      </c>
      <c r="C38" s="11" t="inlineStr">
        <is>
          <t>RAM (Total PSS) after cold start</t>
        </is>
      </c>
      <c r="D38" s="11" t="inlineStr">
        <is>
          <t>MB</t>
        </is>
      </c>
      <c r="E38" s="11" t="inlineStr">
        <is>
          <t>Lower</t>
        </is>
      </c>
      <c r="F38" s="11" t="inlineStr">
        <is>
          <t>7 RAM &amp; Storage</t>
        </is>
      </c>
      <c r="G38" s="11" t="inlineStr">
        <is>
          <t>ADB meminfo (bench.py)</t>
        </is>
      </c>
      <c r="H38" s="11" t="inlineStr">
        <is>
          <t>adb shell dumpsys meminfo &lt;pkg&gt;, TOTAL PSS (KB) ÷ 1024, taken 5 s after the home screen renders. The note carries the Java/native/code/graphics split.</t>
        </is>
      </c>
    </row>
    <row r="39">
      <c r="A39" s="11" t="inlineStr">
        <is>
          <t>R2</t>
        </is>
      </c>
      <c r="B39" s="11" t="inlineStr">
        <is>
          <t>RAM</t>
        </is>
      </c>
      <c r="C39" s="11" t="inlineStr">
        <is>
          <t>RAM (Total PSS) on Watchlist tab &gt; Bench 20</t>
        </is>
      </c>
      <c r="D39" s="11" t="inlineStr">
        <is>
          <t>MB</t>
        </is>
      </c>
      <c r="E39" s="11" t="inlineStr">
        <is>
          <t>Lower</t>
        </is>
      </c>
      <c r="F39" s="11" t="inlineStr">
        <is>
          <t>7 RAM &amp; Storage</t>
        </is>
      </c>
      <c r="G39" s="11" t="inlineStr">
        <is>
          <t>ADB meminfo (bench.py)</t>
        </is>
      </c>
      <c r="H39" s="11" t="inlineStr">
        <is>
          <t>Same command 5 s after Watchlist tab &gt; Bench 20 is fully rendered.</t>
        </is>
      </c>
    </row>
    <row r="40">
      <c r="A40" s="11" t="inlineStr">
        <is>
          <t>R3</t>
        </is>
      </c>
      <c r="B40" s="11" t="inlineStr">
        <is>
          <t>RAM</t>
        </is>
      </c>
      <c r="C40" s="11" t="inlineStr">
        <is>
          <t>RAM (Total PSS) after 5 min on Watchlist tab &gt; Bench 20</t>
        </is>
      </c>
      <c r="D40" s="11" t="inlineStr">
        <is>
          <t>MB</t>
        </is>
      </c>
      <c r="E40" s="11" t="inlineStr">
        <is>
          <t>Lower</t>
        </is>
      </c>
      <c r="F40" s="11" t="inlineStr">
        <is>
          <t>7 RAM &amp; Storage</t>
        </is>
      </c>
      <c r="G40" s="11" t="inlineStr">
        <is>
          <t>ADB meminfo (bench.py --group ram --with-r3)</t>
        </is>
      </c>
      <c r="H40" s="11" t="inlineStr">
        <is>
          <t>Same command after 5 min on Watchlist tab &gt; Bench 20 with live ticks and a scroll every minute. A big rise from R2 suggests a leak. One soak per app.</t>
        </is>
      </c>
    </row>
    <row r="41">
      <c r="A41" s="11" t="inlineStr">
        <is>
          <t>R4</t>
        </is>
      </c>
      <c r="B41" s="11" t="inlineStr">
        <is>
          <t>Storage</t>
        </is>
      </c>
      <c r="C41" s="11" t="inlineStr">
        <is>
          <t>App size (installed)</t>
        </is>
      </c>
      <c r="D41" s="11" t="inlineStr">
        <is>
          <t>MB</t>
        </is>
      </c>
      <c r="E41" s="11" t="inlineStr">
        <is>
          <t>Lower</t>
        </is>
      </c>
      <c r="F41" s="11" t="inlineStr">
        <is>
          <t>7 RAM &amp; Storage</t>
        </is>
      </c>
      <c r="G41" s="11" t="inlineStr">
        <is>
          <t>Settings / ADB diskstats</t>
        </is>
      </c>
      <c r="H41" s="11" t="inlineStr">
        <is>
          <t>Settings → Apps → &lt;app&gt; → Storage → App size (or adb shell dumpsys diskstats). One reading.</t>
        </is>
      </c>
    </row>
    <row r="42">
      <c r="A42" s="11" t="inlineStr">
        <is>
          <t>R5</t>
        </is>
      </c>
      <c r="B42" s="11" t="inlineStr">
        <is>
          <t>Storage</t>
        </is>
      </c>
      <c r="C42" s="11" t="inlineStr">
        <is>
          <t>User data – fresh install (before login)</t>
        </is>
      </c>
      <c r="D42" s="11" t="inlineStr">
        <is>
          <t>MB</t>
        </is>
      </c>
      <c r="E42" s="11" t="inlineStr">
        <is>
          <t>Lower</t>
        </is>
      </c>
      <c r="F42" s="11" t="inlineStr">
        <is>
          <t>7 RAM &amp; Storage</t>
        </is>
      </c>
      <c r="G42" s="11" t="inlineStr">
        <is>
          <t>Settings</t>
        </is>
      </c>
      <c r="H42" s="11" t="inlineStr">
        <is>
          <t>Storage → User data right after install and first open, before login. One reading.</t>
        </is>
      </c>
    </row>
    <row r="43">
      <c r="A43" s="11" t="inlineStr">
        <is>
          <t>R6</t>
        </is>
      </c>
      <c r="B43" s="11" t="inlineStr">
        <is>
          <t>Storage</t>
        </is>
      </c>
      <c r="C43" s="11" t="inlineStr">
        <is>
          <t>User data – after login + first screen open</t>
        </is>
      </c>
      <c r="D43" s="11" t="inlineStr">
        <is>
          <t>MB</t>
        </is>
      </c>
      <c r="E43" s="11" t="inlineStr">
        <is>
          <t>Lower</t>
        </is>
      </c>
      <c r="F43" s="11" t="inlineStr">
        <is>
          <t>7 RAM &amp; Storage</t>
        </is>
      </c>
      <c r="G43" s="11" t="inlineStr">
        <is>
          <t>Settings</t>
        </is>
      </c>
      <c r="H43" s="11" t="inlineStr">
        <is>
          <t>Storage → User data after login and opening the app's main screen once. One reading.</t>
        </is>
      </c>
    </row>
    <row r="44">
      <c r="A44" s="11" t="inlineStr">
        <is>
          <t>R7</t>
        </is>
      </c>
      <c r="B44" s="11" t="inlineStr">
        <is>
          <t>Storage</t>
        </is>
      </c>
      <c r="C44" s="11" t="inlineStr">
        <is>
          <t>Cache – after login + first screen open</t>
        </is>
      </c>
      <c r="D44" s="11" t="inlineStr">
        <is>
          <t>MB</t>
        </is>
      </c>
      <c r="E44" s="11" t="inlineStr">
        <is>
          <t>Lower</t>
        </is>
      </c>
      <c r="F44" s="11" t="inlineStr">
        <is>
          <t>7 RAM &amp; Storage</t>
        </is>
      </c>
      <c r="G44" s="11" t="inlineStr">
        <is>
          <t>Settings</t>
        </is>
      </c>
      <c r="H44" s="11" t="inlineStr">
        <is>
          <t>Storage → Cache at the same point as R6. One reading.</t>
        </is>
      </c>
    </row>
    <row r="45">
      <c r="A45" s="11" t="inlineStr">
        <is>
          <t>R8</t>
        </is>
      </c>
      <c r="B45" s="11" t="inlineStr">
        <is>
          <t>Storage</t>
        </is>
      </c>
      <c r="C45" s="11" t="inlineStr">
        <is>
          <t>Total storage after 1 day of use</t>
        </is>
      </c>
      <c r="D45" s="11" t="inlineStr">
        <is>
          <t>MB</t>
        </is>
      </c>
      <c r="E45" s="11" t="inlineStr">
        <is>
          <t>Lower</t>
        </is>
      </c>
      <c r="F45" s="11" t="inlineStr">
        <is>
          <t>7 RAM &amp; Storage</t>
        </is>
      </c>
      <c r="G45" s="11" t="inlineStr">
        <is>
          <t>Settings</t>
        </is>
      </c>
      <c r="H45" s="11" t="inlineStr">
        <is>
          <t>Storage → Total after a day of normal use. One reading.</t>
        </is>
      </c>
    </row>
    <row r="46">
      <c r="A46" s="11" t="inlineStr">
        <is>
          <t>R9</t>
        </is>
      </c>
      <c r="B46" s="11" t="inlineStr">
        <is>
          <t>RAM</t>
        </is>
      </c>
      <c r="C46" s="11" t="inlineStr">
        <is>
          <t>Leak check: PSS growth over 10 open/close cycles of Watchlist tab &gt; Bench 20</t>
        </is>
      </c>
      <c r="D46" s="11" t="inlineStr">
        <is>
          <t>MB</t>
        </is>
      </c>
      <c r="E46" s="11" t="inlineStr">
        <is>
          <t>Lower</t>
        </is>
      </c>
      <c r="F46" s="11" t="inlineStr">
        <is>
          <t>7 RAM &amp; Storage</t>
        </is>
      </c>
      <c r="G46" s="11" t="inlineStr">
        <is>
          <t>ADB meminfo (bench.py)</t>
        </is>
      </c>
      <c r="H46" s="11" t="inlineStr">
        <is>
          <t>bench.py --group leak: PSS on the screen before Watchlist tab &gt; Bench 20, then open and close Watchlist tab &gt; Bench 20 ten times (scripted when the module has open_tap, otherwise by hand), 2 s settle, PSS again. Value = growth in MB.</t>
        </is>
      </c>
    </row>
    <row r="47">
      <c r="A47" s="11" t="inlineStr">
        <is>
          <t>C1</t>
        </is>
      </c>
      <c r="B47" s="11" t="inlineStr">
        <is>
          <t>CPU / Battery / Data</t>
        </is>
      </c>
      <c r="C47" s="11" t="inlineStr">
        <is>
          <t>Average CPU on Watchlist tab &gt; Bench 20 (live ticks, 15 min equivalent)</t>
        </is>
      </c>
      <c r="D47" s="11" t="inlineStr">
        <is>
          <t>%</t>
        </is>
      </c>
      <c r="E47" s="11" t="inlineStr">
        <is>
          <t>Lower</t>
        </is>
      </c>
      <c r="F47" s="11" t="inlineStr">
        <is>
          <t>8 CPU Battery Data</t>
        </is>
      </c>
      <c r="G47" s="11" t="inlineStr">
        <is>
          <t>ADB (bench.py --group live)</t>
        </is>
      </c>
      <c r="H47" s="11" t="inlineStr">
        <is>
          <t>CPU time used by the app's processes (/proc/&lt;pid&gt;/stat) ÷ session length. 100% = one full core.</t>
        </is>
      </c>
    </row>
    <row r="48">
      <c r="A48" s="11" t="inlineStr">
        <is>
          <t>C2</t>
        </is>
      </c>
      <c r="B48" s="11" t="inlineStr">
        <is>
          <t>CPU / Battery / Data</t>
        </is>
      </c>
      <c r="C48" s="11" t="inlineStr">
        <is>
          <t>Battery drain – 15 min on Watchlist tab &gt; Bench 20</t>
        </is>
      </c>
      <c r="D48" s="11" t="inlineStr">
        <is>
          <t>mAh</t>
        </is>
      </c>
      <c r="E48" s="11" t="inlineStr">
        <is>
          <t>Lower</t>
        </is>
      </c>
      <c r="F48" s="11" t="inlineStr">
        <is>
          <t>8 CPU Battery Data</t>
        </is>
      </c>
      <c r="G48" s="11" t="inlineStr">
        <is>
          <t>ADB (bench.py --group live)</t>
        </is>
      </c>
      <c r="H48" s="11" t="inlineStr">
        <is>
          <t>Resets batterystats, simulates unplugged, then reads the app's estimated power use (mAh), scaled to 15 min.</t>
        </is>
      </c>
    </row>
    <row r="49">
      <c r="A49" s="11" t="inlineStr">
        <is>
          <t>C3</t>
        </is>
      </c>
      <c r="B49" s="11" t="inlineStr">
        <is>
          <t>CPU / Battery / Data</t>
        </is>
      </c>
      <c r="C49" s="11" t="inlineStr">
        <is>
          <t>Device temperature rise – session on Watchlist tab &gt; Bench 20</t>
        </is>
      </c>
      <c r="D49" s="11" t="inlineStr">
        <is>
          <t>°C</t>
        </is>
      </c>
      <c r="E49" s="11" t="inlineStr">
        <is>
          <t>Lower</t>
        </is>
      </c>
      <c r="F49" s="11" t="inlineStr">
        <is>
          <t>8 CPU Battery Data</t>
        </is>
      </c>
      <c r="G49" s="11" t="inlineStr">
        <is>
          <t>ADB (bench.py --group live)</t>
        </is>
      </c>
      <c r="H49" s="11" t="inlineStr">
        <is>
          <t>SKIN temperature from dumpsys thermalservice at start and end. Not scaled. Use wireless debugging if possible, because USB charging heats the phone.</t>
        </is>
      </c>
    </row>
    <row r="50">
      <c r="A50" s="11" t="inlineStr">
        <is>
          <t>C4</t>
        </is>
      </c>
      <c r="B50" s="11" t="inlineStr">
        <is>
          <t>CPU / Battery / Data</t>
        </is>
      </c>
      <c r="C50" s="11" t="inlineStr">
        <is>
          <t>Data used – 15 min on Watchlist tab &gt; Bench 20</t>
        </is>
      </c>
      <c r="D50" s="11" t="inlineStr">
        <is>
          <t>MB</t>
        </is>
      </c>
      <c r="E50" s="11" t="inlineStr">
        <is>
          <t>Lower</t>
        </is>
      </c>
      <c r="F50" s="11" t="inlineStr">
        <is>
          <t>8 CPU Battery Data</t>
        </is>
      </c>
      <c r="G50" s="11" t="inlineStr">
        <is>
          <t>ADB (bench.py --group live)</t>
        </is>
      </c>
      <c r="H50" s="11" t="inlineStr">
        <is>
          <t>The app's received + sent bytes from dumpsys netstats (forced poll) at start and end, scaled to 15 min.</t>
        </is>
      </c>
    </row>
    <row r="51">
      <c r="A51" s="11" t="inlineStr">
        <is>
          <t>A1</t>
        </is>
      </c>
      <c r="B51" s="11" t="inlineStr">
        <is>
          <t>Stability</t>
        </is>
      </c>
      <c r="C51" s="11" t="inlineStr">
        <is>
          <t>Crashes during all testing</t>
        </is>
      </c>
      <c r="D51" s="11" t="inlineStr">
        <is>
          <t>count</t>
        </is>
      </c>
      <c r="E51" s="11" t="inlineStr">
        <is>
          <t>Lower</t>
        </is>
      </c>
      <c r="F51" s="11" t="inlineStr">
        <is>
          <t>9 App Info &amp; Stability</t>
        </is>
      </c>
      <c r="G51" s="11" t="inlineStr">
        <is>
          <t>ADB logcat</t>
        </is>
      </c>
      <c r="H51" s="11" t="inlineStr">
        <is>
          <t>adb logcat -b crash kept running during every session. Count FATAL EXCEPTION entries for the package.</t>
        </is>
      </c>
    </row>
    <row r="52">
      <c r="A52" s="11" t="inlineStr">
        <is>
          <t>A2</t>
        </is>
      </c>
      <c r="B52" s="11" t="inlineStr">
        <is>
          <t>Stability</t>
        </is>
      </c>
      <c r="C52" s="11" t="inlineStr">
        <is>
          <t>ANRs during all testing</t>
        </is>
      </c>
      <c r="D52" s="11" t="inlineStr">
        <is>
          <t>count</t>
        </is>
      </c>
      <c r="E52" s="11" t="inlineStr">
        <is>
          <t>Lower</t>
        </is>
      </c>
      <c r="F52" s="11" t="inlineStr">
        <is>
          <t>9 App Info &amp; Stability</t>
        </is>
      </c>
      <c r="G52" s="11" t="inlineStr">
        <is>
          <t>ADB logcat</t>
        </is>
      </c>
      <c r="H52" s="11" t="inlineStr">
        <is>
          <t>Count 'ANR in &lt;pkg&gt;' entries in adb logcat over all sessions.</t>
        </is>
      </c>
    </row>
    <row r="53">
      <c r="A53" s="11" t="inlineStr">
        <is>
          <t>A3</t>
        </is>
      </c>
      <c r="B53" s="11" t="inlineStr">
        <is>
          <t>Stability</t>
        </is>
      </c>
      <c r="C53" s="11" t="inlineStr">
        <is>
          <t>Play Store rating</t>
        </is>
      </c>
      <c r="D53" s="11" t="inlineStr">
        <is>
          <t>★</t>
        </is>
      </c>
      <c r="E53" s="11" t="inlineStr">
        <is>
          <t>Higher</t>
        </is>
      </c>
      <c r="F53" s="11" t="inlineStr">
        <is>
          <t>9 App Info &amp; Stability</t>
        </is>
      </c>
      <c r="G53" s="11" t="inlineStr">
        <is>
          <t>Play Store</t>
        </is>
      </c>
      <c r="H53" s="11" t="inlineStr">
        <is>
          <t>Rating shown on the Play Store listing on the test date.</t>
        </is>
      </c>
    </row>
    <row r="54">
      <c r="A54" s="11" t="inlineStr">
        <is>
          <t>A4</t>
        </is>
      </c>
      <c r="B54" s="11" t="inlineStr">
        <is>
          <t>Stability</t>
        </is>
      </c>
      <c r="C54" s="11" t="inlineStr">
        <is>
          <t>Play Store download size</t>
        </is>
      </c>
      <c r="D54" s="11" t="inlineStr">
        <is>
          <t>MB</t>
        </is>
      </c>
      <c r="E54" s="11" t="inlineStr">
        <is>
          <t>Lower</t>
        </is>
      </c>
      <c r="F54" s="11" t="inlineStr">
        <is>
          <t>9 App Info &amp; Stability</t>
        </is>
      </c>
      <c r="G54" s="11" t="inlineStr">
        <is>
          <t>Play Store</t>
        </is>
      </c>
      <c r="H54" s="11" t="inlineStr">
        <is>
          <t>Size shown on the Play Store install button or in 'About this app' on the test device.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2" customWidth="1" min="6" max="6"/>
    <col width="22" customWidth="1" min="7" max="7"/>
    <col width="30" customWidth="1" min="8" max="8"/>
  </cols>
  <sheetData>
    <row r="1">
      <c r="A1" s="1" t="inlineStr">
        <is>
          <t>Test Setup</t>
        </is>
      </c>
    </row>
    <row r="2">
      <c r="A2" s="2" t="inlineStr">
        <is>
          <t>Filled from env.csv by build_report.py. Every result is only comparable if the setup stays fixed.</t>
        </is>
      </c>
    </row>
    <row r="4">
      <c r="A4" s="3" t="inlineStr">
        <is>
          <t>Test device</t>
        </is>
      </c>
    </row>
    <row r="5" ht="32" customHeight="1">
      <c r="A5" s="10" t="inlineStr">
        <is>
          <t>Label</t>
        </is>
      </c>
      <c r="B5" s="10" t="inlineStr">
        <is>
          <t>Model</t>
        </is>
      </c>
      <c r="C5" s="10" t="inlineStr">
        <is>
          <t>Android version</t>
        </is>
      </c>
      <c r="D5" s="10" t="inlineStr">
        <is>
          <t>RAM (GB)</t>
        </is>
      </c>
      <c r="E5" s="10" t="inlineStr">
        <is>
          <t>Render rate (Hz)</t>
        </is>
      </c>
      <c r="F5" s="10" t="inlineStr">
        <is>
          <t>Refresh mode</t>
        </is>
      </c>
      <c r="G5" s="10" t="inlineStr">
        <is>
          <t>Developer</t>
        </is>
      </c>
      <c r="H5" s="10" t="inlineStr">
        <is>
          <t>Notes</t>
        </is>
      </c>
    </row>
    <row r="6">
      <c r="A6" s="27" t="inlineStr">
        <is>
          <t>OPPO CPH3009</t>
        </is>
      </c>
      <c r="B6" s="5" t="inlineStr">
        <is>
          <t>OPPO CPH3009</t>
        </is>
      </c>
      <c r="C6" s="5" t="inlineStr">
        <is>
          <t>17</t>
        </is>
      </c>
      <c r="D6" s="5" t="inlineStr">
        <is>
          <t>5.4</t>
        </is>
      </c>
      <c r="E6" s="5" t="inlineStr">
        <is>
          <t>90.0</t>
        </is>
      </c>
      <c r="F6" s="5" t="inlineStr">
        <is>
          <t>120.00001</t>
        </is>
      </c>
      <c r="G6" s="5" t="inlineStr">
        <is>
          <t>mahidhar</t>
        </is>
      </c>
      <c r="H6" s="5" t="inlineStr">
        <is>
          <t>Market-hours block 2026-10-23 (idle/live). 2.4 GHz Wi-Fi Mahi_work (deviation from 5 GHz). PCAPdroid off. Phone unplugged. Bench 20 in all apps.</t>
        </is>
      </c>
    </row>
    <row r="9">
      <c r="A9" s="3" t="inlineStr">
        <is>
          <t>Network and conditions</t>
        </is>
      </c>
    </row>
    <row r="10" ht="32" customHeight="1">
      <c r="A10" s="10" t="inlineStr">
        <is>
          <t>Item</t>
        </is>
      </c>
      <c r="B10" s="10" t="inlineStr">
        <is>
          <t>Value</t>
        </is>
      </c>
      <c r="C10" s="10" t="inlineStr">
        <is>
          <t>Notes</t>
        </is>
      </c>
    </row>
    <row r="11">
      <c r="A11" s="6" t="inlineStr">
        <is>
          <t>Wi-Fi RSSI (dBm) / link speed (Mbps)</t>
        </is>
      </c>
      <c r="B11" s="5" t="inlineStr">
        <is>
          <t>-63 / 65</t>
        </is>
      </c>
      <c r="C11" s="5" t="n"/>
    </row>
    <row r="12">
      <c r="A12" s="6" t="inlineStr">
        <is>
          <t>Speed test – download (Mbps)</t>
        </is>
      </c>
      <c r="B12" s="5" t="inlineStr"/>
      <c r="C12" s="5" t="n"/>
    </row>
    <row r="13">
      <c r="A13" s="6" t="inlineStr">
        <is>
          <t>Private DNS mode</t>
        </is>
      </c>
      <c r="B13" s="5" t="inlineStr">
        <is>
          <t>off</t>
        </is>
      </c>
      <c r="C13" s="5" t="n"/>
    </row>
    <row r="14">
      <c r="A14" s="6" t="inlineStr">
        <is>
          <t>Battery % / charging</t>
        </is>
      </c>
      <c r="B14" s="5" t="inlineStr">
        <is>
          <t>88 / no</t>
        </is>
      </c>
      <c r="C14" s="5" t="n"/>
    </row>
    <row r="15">
      <c r="A15" s="6" t="inlineStr">
        <is>
          <t>Thermal status</t>
        </is>
      </c>
      <c r="B15" s="5" t="inlineStr">
        <is>
          <t>0</t>
        </is>
      </c>
      <c r="C15" s="5" t="n"/>
    </row>
    <row r="16">
      <c r="A16" s="6" t="inlineStr">
        <is>
          <t>Animation scales</t>
        </is>
      </c>
      <c r="B16" s="5" t="inlineStr">
        <is>
          <t>1.0/1.0/1.0</t>
        </is>
      </c>
      <c r="C16" s="5" t="n"/>
    </row>
    <row r="17">
      <c r="A17" s="3" t="inlineStr">
        <is>
          <t>Test accounts (holdings / watchlist size per app)</t>
        </is>
      </c>
    </row>
    <row r="18" ht="32" customHeight="1">
      <c r="A18" s="10" t="inlineStr">
        <is>
          <t>App</t>
        </is>
      </c>
      <c r="B18" s="10" t="inlineStr">
        <is>
          <t>Version tested</t>
        </is>
      </c>
      <c r="C18" s="10" t="inlineStr">
        <is>
          <t>Logged in with data?</t>
        </is>
      </c>
      <c r="D18" s="10" t="inlineStr">
        <is>
          <t>Holdings / watchlist size</t>
        </is>
      </c>
      <c r="E18" s="10" t="inlineStr">
        <is>
          <t>Notes</t>
        </is>
      </c>
    </row>
    <row r="19">
      <c r="A19" s="27" t="inlineStr">
        <is>
          <t>RISE</t>
        </is>
      </c>
      <c r="B19" s="5" t="inlineStr">
        <is>
          <t>6.2.09</t>
        </is>
      </c>
      <c r="C19" s="5" t="n"/>
      <c r="D19" s="5" t="inlineStr"/>
      <c r="E19" s="5" t="n"/>
    </row>
    <row r="20">
      <c r="A20" s="27" t="inlineStr">
        <is>
          <t>Kite</t>
        </is>
      </c>
      <c r="B20" s="5" t="inlineStr">
        <is>
          <t>3.11.11</t>
        </is>
      </c>
      <c r="C20" s="5" t="n"/>
      <c r="D20" s="5" t="inlineStr"/>
      <c r="E20" s="5" t="n"/>
    </row>
    <row r="21">
      <c r="A21" s="27" t="inlineStr">
        <is>
          <t>Groww</t>
        </is>
      </c>
      <c r="B21" s="5" t="inlineStr">
        <is>
          <t>18.21.1</t>
        </is>
      </c>
      <c r="C21" s="5" t="n"/>
      <c r="D21" s="5" t="inlineStr"/>
      <c r="E21" s="5" t="n"/>
    </row>
    <row r="22">
      <c r="A22" s="27" t="inlineStr">
        <is>
          <t>Angel One</t>
        </is>
      </c>
      <c r="B22" s="5" t="inlineStr">
        <is>
          <t>126.10.0</t>
        </is>
      </c>
      <c r="C22" s="5" t="n"/>
      <c r="D22" s="5" t="inlineStr"/>
      <c r="E22" s="5" t="n"/>
    </row>
    <row r="23">
      <c r="A23" s="27" t="inlineStr">
        <is>
          <t>INDmoney</t>
        </is>
      </c>
      <c r="B23" s="5" t="inlineStr">
        <is>
          <t>9.9.86</t>
        </is>
      </c>
      <c r="C23" s="5" t="n"/>
      <c r="D23" s="5" t="inlineStr"/>
      <c r="E23" s="5" t="n"/>
    </row>
    <row r="24">
      <c r="A24" s="27" t="inlineStr">
        <is>
          <t>Kotak Neo</t>
        </is>
      </c>
      <c r="B24" s="5" t="inlineStr">
        <is>
          <t>2.2.86</t>
        </is>
      </c>
      <c r="C24" s="5" t="n"/>
      <c r="D24" s="5" t="inlineStr"/>
      <c r="E24" s="5" t="n"/>
    </row>
    <row r="25">
      <c r="A25" s="27" t="inlineStr">
        <is>
          <t>SAHI</t>
        </is>
      </c>
      <c r="B25" s="5" t="inlineStr">
        <is>
          <t>1.0</t>
        </is>
      </c>
      <c r="C25" s="5" t="n"/>
      <c r="D25" s="5" t="inlineStr"/>
      <c r="E25" s="5" t="n"/>
    </row>
    <row r="27">
      <c r="A27" s="3" t="inlineStr">
        <is>
          <t>Test rules (same for every app)</t>
        </is>
      </c>
    </row>
    <row r="28">
      <c r="A28" s="4" t="inlineStr">
        <is>
          <t>1. Same phone, same Android version and same Wi-Fi for every app in this module. Don't update the OS mid-benchmark.</t>
        </is>
      </c>
    </row>
    <row r="29">
      <c r="A29" s="4" t="inlineStr">
        <is>
          <t>2. Before each session: battery above 50%, brightness fixed, all other apps closed, Do Not Disturb on, Power saving off.</t>
        </is>
      </c>
    </row>
    <row r="30">
      <c r="A30" s="4" t="inlineStr">
        <is>
          <t>3. Five runs per timing metric, three for live sessions, one for facts. The sheet uses the MEDIAN.</t>
        </is>
      </c>
    </row>
    <row r="31">
      <c r="A31" s="4" t="inlineStr">
        <is>
          <t>4. If a row's Variation (max−min ÷ median) turns red (above 20%), check for interference and redo that row.</t>
        </is>
      </c>
    </row>
    <row r="32">
      <c r="A32" s="4" t="inlineStr">
        <is>
          <t>5. Live-data tests (U1–U5, C1–C4) only during market hours (09:15–15:30 IST).</t>
        </is>
      </c>
    </row>
    <row r="33">
      <c r="A33" s="4" t="inlineStr">
        <is>
          <t>6. Phone-scoped metrics (L1, L2, R1, R4–R8, X1, X2, X4, A3, A4) come from the _app module, measured once per phone.</t>
        </is>
      </c>
    </row>
    <row r="34">
      <c r="A34" s="4" t="inlineStr">
        <is>
          <t>7. Keep adb logcat -b crash running in every session to catch crashes and ANRs.</t>
        </is>
      </c>
    </row>
  </sheetData>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P109"/>
  <sheetViews>
    <sheetView showGridLines="0" workbookViewId="0">
      <pane xSplit="6" ySplit="4" topLeftCell="G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6" customWidth="1" min="2" max="2"/>
    <col width="7" customWidth="1" min="3" max="3"/>
    <col width="13" customWidth="1" min="4" max="4"/>
    <col width="22" customWidth="1" min="5" max="5"/>
    <col width="14" customWidth="1" min="6" max="6"/>
    <col width="9" customWidth="1" min="7" max="7"/>
    <col width="9" customWidth="1" min="8" max="8"/>
    <col width="9" customWidth="1" min="9" max="9"/>
    <col width="9" customWidth="1" min="10" max="10"/>
    <col width="9" customWidth="1" min="11" max="11"/>
    <col width="10" customWidth="1" min="12" max="12"/>
    <col width="9" customWidth="1" min="13" max="13"/>
    <col width="9" customWidth="1" min="14" max="14"/>
    <col width="10" customWidth="1" min="15" max="15"/>
    <col width="36" customWidth="1" min="16" max="16"/>
  </cols>
  <sheetData>
    <row r="1">
      <c r="A1" s="1" t="inlineStr">
        <is>
          <t>1 Load &amp; Network</t>
        </is>
      </c>
    </row>
    <row r="2">
      <c r="A2" s="2" t="inlineStr">
        <is>
          <t>Loading time for Watchlist tab &gt; Bench 20, API/network behaviour, user-wise (account size) loads, offline recovery. Filled from runs.csv; Median/Min/Max/Variation are formulas.</t>
        </is>
      </c>
    </row>
    <row r="4" ht="32" customHeight="1">
      <c r="A4" s="10" t="inlineStr">
        <is>
          <t>ID</t>
        </is>
      </c>
      <c r="B4" s="10" t="inlineStr">
        <is>
          <t>Metric</t>
        </is>
      </c>
      <c r="C4" s="10" t="inlineStr">
        <is>
          <t>Unit</t>
        </is>
      </c>
      <c r="D4" s="10" t="inlineStr">
        <is>
          <t>App</t>
        </is>
      </c>
      <c r="E4" s="10" t="inlineStr">
        <is>
          <t>Device</t>
        </is>
      </c>
      <c r="F4" s="10" t="inlineStr">
        <is>
          <t>Lookup key</t>
        </is>
      </c>
      <c r="G4" s="10" t="inlineStr">
        <is>
          <t>Run 1</t>
        </is>
      </c>
      <c r="H4" s="10" t="inlineStr">
        <is>
          <t>Run 2</t>
        </is>
      </c>
      <c r="I4" s="10" t="inlineStr">
        <is>
          <t>Run 3</t>
        </is>
      </c>
      <c r="J4" s="10" t="inlineStr">
        <is>
          <t>Run 4</t>
        </is>
      </c>
      <c r="K4" s="10" t="inlineStr">
        <is>
          <t>Run 5</t>
        </is>
      </c>
      <c r="L4" s="10" t="inlineStr">
        <is>
          <t>Median</t>
        </is>
      </c>
      <c r="M4" s="10" t="inlineStr">
        <is>
          <t>Min</t>
        </is>
      </c>
      <c r="N4" s="10" t="inlineStr">
        <is>
          <t>Max</t>
        </is>
      </c>
      <c r="O4" s="10" t="inlineStr">
        <is>
          <t>Variation</t>
        </is>
      </c>
      <c r="P4" s="10" t="inlineStr">
        <is>
          <t>Notes</t>
        </is>
      </c>
    </row>
    <row r="5">
      <c r="A5" s="8" t="inlineStr">
        <is>
          <t>L1</t>
        </is>
      </c>
      <c r="B5" s="8" t="inlineStr">
        <is>
          <t>Cold start (OS-reported launch time)</t>
        </is>
      </c>
      <c r="C5" s="8" t="inlineStr">
        <is>
          <t>ms</t>
        </is>
      </c>
      <c r="D5" s="8" t="inlineStr">
        <is>
          <t>RISE</t>
        </is>
      </c>
      <c r="E5" s="8" t="inlineStr">
        <is>
          <t>OPPO CPH3009</t>
        </is>
      </c>
      <c r="F5" s="41">
        <f>A5&amp;"|"&amp;D5&amp;"|"&amp;E5</f>
        <v/>
      </c>
      <c r="G5" s="63" t="n">
        <v>842</v>
      </c>
      <c r="H5" s="63" t="n">
        <v>750</v>
      </c>
      <c r="I5" s="63" t="n">
        <v>678</v>
      </c>
      <c r="J5" s="63" t="n">
        <v>710</v>
      </c>
      <c r="K5" s="63" t="n">
        <v>654</v>
      </c>
      <c r="L5" s="64">
        <f>IF(COUNT(G5:K5)=0,"",MEDIAN(G5:K5))</f>
        <v/>
      </c>
      <c r="M5" s="65">
        <f>IF(COUNT(G5:K5)=0,"",MIN(G5:K5))</f>
        <v/>
      </c>
      <c r="N5" s="65">
        <f>IF(COUNT(G5:K5)=0,"",MAX(G5:K5))</f>
        <v/>
      </c>
      <c r="O5" s="45">
        <f>IF(COUNT(G5:K5)&lt;2,"",IF(L5=0,"",(N5-M5)/L5))</f>
        <v/>
      </c>
      <c r="P5" s="5" t="n"/>
    </row>
    <row r="6">
      <c r="A6" s="6" t="inlineStr">
        <is>
          <t>L1</t>
        </is>
      </c>
      <c r="B6" s="6" t="inlineStr">
        <is>
          <t>Cold start (OS-reported launch time)</t>
        </is>
      </c>
      <c r="C6" s="6" t="inlineStr">
        <is>
          <t>ms</t>
        </is>
      </c>
      <c r="D6" s="6" t="inlineStr">
        <is>
          <t>Kite</t>
        </is>
      </c>
      <c r="E6" s="6" t="inlineStr">
        <is>
          <t>OPPO CPH3009</t>
        </is>
      </c>
      <c r="F6" s="41">
        <f>A6&amp;"|"&amp;D6&amp;"|"&amp;E6</f>
        <v/>
      </c>
      <c r="G6" s="63" t="n">
        <v>597</v>
      </c>
      <c r="H6" s="63" t="n">
        <v>598</v>
      </c>
      <c r="I6" s="63" t="n">
        <v>611</v>
      </c>
      <c r="J6" s="63" t="n">
        <v>604</v>
      </c>
      <c r="K6" s="63" t="n">
        <v>618</v>
      </c>
      <c r="L6" s="64">
        <f>IF(COUNT(G6:K6)=0,"",MEDIAN(G6:K6))</f>
        <v/>
      </c>
      <c r="M6" s="65">
        <f>IF(COUNT(G6:K6)=0,"",MIN(G6:K6))</f>
        <v/>
      </c>
      <c r="N6" s="65">
        <f>IF(COUNT(G6:K6)=0,"",MAX(G6:K6))</f>
        <v/>
      </c>
      <c r="O6" s="45">
        <f>IF(COUNT(G6:K6)&lt;2,"",IF(L6=0,"",(N6-M6)/L6))</f>
        <v/>
      </c>
      <c r="P6" s="5" t="n"/>
    </row>
    <row r="7">
      <c r="A7" s="6" t="inlineStr">
        <is>
          <t>L1</t>
        </is>
      </c>
      <c r="B7" s="6" t="inlineStr">
        <is>
          <t>Cold start (OS-reported launch time)</t>
        </is>
      </c>
      <c r="C7" s="6" t="inlineStr">
        <is>
          <t>ms</t>
        </is>
      </c>
      <c r="D7" s="6" t="inlineStr">
        <is>
          <t>Groww</t>
        </is>
      </c>
      <c r="E7" s="6" t="inlineStr">
        <is>
          <t>OPPO CPH3009</t>
        </is>
      </c>
      <c r="F7" s="41">
        <f>A7&amp;"|"&amp;D7&amp;"|"&amp;E7</f>
        <v/>
      </c>
      <c r="G7" s="63" t="n">
        <v>665</v>
      </c>
      <c r="H7" s="63" t="n">
        <v>651</v>
      </c>
      <c r="I7" s="63" t="n">
        <v>665</v>
      </c>
      <c r="J7" s="63" t="n">
        <v>613</v>
      </c>
      <c r="K7" s="63" t="n">
        <v>610</v>
      </c>
      <c r="L7" s="64">
        <f>IF(COUNT(G7:K7)=0,"",MEDIAN(G7:K7))</f>
        <v/>
      </c>
      <c r="M7" s="65">
        <f>IF(COUNT(G7:K7)=0,"",MIN(G7:K7))</f>
        <v/>
      </c>
      <c r="N7" s="65">
        <f>IF(COUNT(G7:K7)=0,"",MAX(G7:K7))</f>
        <v/>
      </c>
      <c r="O7" s="45">
        <f>IF(COUNT(G7:K7)&lt;2,"",IF(L7=0,"",(N7-M7)/L7))</f>
        <v/>
      </c>
      <c r="P7" s="5" t="n"/>
    </row>
    <row r="8">
      <c r="A8" s="6" t="inlineStr">
        <is>
          <t>L1</t>
        </is>
      </c>
      <c r="B8" s="6" t="inlineStr">
        <is>
          <t>Cold start (OS-reported launch time)</t>
        </is>
      </c>
      <c r="C8" s="6" t="inlineStr">
        <is>
          <t>ms</t>
        </is>
      </c>
      <c r="D8" s="6" t="inlineStr">
        <is>
          <t>Angel One</t>
        </is>
      </c>
      <c r="E8" s="6" t="inlineStr">
        <is>
          <t>OPPO CPH3009</t>
        </is>
      </c>
      <c r="F8" s="41">
        <f>A8&amp;"|"&amp;D8&amp;"|"&amp;E8</f>
        <v/>
      </c>
      <c r="G8" s="63" t="n">
        <v>712</v>
      </c>
      <c r="H8" s="63" t="n">
        <v>662</v>
      </c>
      <c r="I8" s="63" t="n">
        <v>666</v>
      </c>
      <c r="J8" s="63" t="n">
        <v>675</v>
      </c>
      <c r="K8" s="63" t="n">
        <v>660</v>
      </c>
      <c r="L8" s="64">
        <f>IF(COUNT(G8:K8)=0,"",MEDIAN(G8:K8))</f>
        <v/>
      </c>
      <c r="M8" s="65">
        <f>IF(COUNT(G8:K8)=0,"",MIN(G8:K8))</f>
        <v/>
      </c>
      <c r="N8" s="65">
        <f>IF(COUNT(G8:K8)=0,"",MAX(G8:K8))</f>
        <v/>
      </c>
      <c r="O8" s="45">
        <f>IF(COUNT(G8:K8)&lt;2,"",IF(L8=0,"",(N8-M8)/L8))</f>
        <v/>
      </c>
      <c r="P8" s="5" t="n"/>
    </row>
    <row r="9">
      <c r="A9" s="6" t="inlineStr">
        <is>
          <t>L1</t>
        </is>
      </c>
      <c r="B9" s="6" t="inlineStr">
        <is>
          <t>Cold start (OS-reported launch time)</t>
        </is>
      </c>
      <c r="C9" s="6" t="inlineStr">
        <is>
          <t>ms</t>
        </is>
      </c>
      <c r="D9" s="6" t="inlineStr">
        <is>
          <t>INDmoney</t>
        </is>
      </c>
      <c r="E9" s="6" t="inlineStr">
        <is>
          <t>OPPO CPH3009</t>
        </is>
      </c>
      <c r="F9" s="41">
        <f>A9&amp;"|"&amp;D9&amp;"|"&amp;E9</f>
        <v/>
      </c>
      <c r="G9" s="63" t="n">
        <v>561</v>
      </c>
      <c r="H9" s="63" t="n">
        <v>512</v>
      </c>
      <c r="I9" s="63" t="n">
        <v>511</v>
      </c>
      <c r="J9" s="63" t="n">
        <v>530</v>
      </c>
      <c r="K9" s="63" t="n">
        <v>469</v>
      </c>
      <c r="L9" s="64">
        <f>IF(COUNT(G9:K9)=0,"",MEDIAN(G9:K9))</f>
        <v/>
      </c>
      <c r="M9" s="65">
        <f>IF(COUNT(G9:K9)=0,"",MIN(G9:K9))</f>
        <v/>
      </c>
      <c r="N9" s="65">
        <f>IF(COUNT(G9:K9)=0,"",MAX(G9:K9))</f>
        <v/>
      </c>
      <c r="O9" s="45">
        <f>IF(COUNT(G9:K9)&lt;2,"",IF(L9=0,"",(N9-M9)/L9))</f>
        <v/>
      </c>
      <c r="P9" s="5" t="n"/>
    </row>
    <row r="10">
      <c r="A10" s="6" t="inlineStr">
        <is>
          <t>L1</t>
        </is>
      </c>
      <c r="B10" s="6" t="inlineStr">
        <is>
          <t>Cold start (OS-reported launch time)</t>
        </is>
      </c>
      <c r="C10" s="6" t="inlineStr">
        <is>
          <t>ms</t>
        </is>
      </c>
      <c r="D10" s="6" t="inlineStr">
        <is>
          <t>Kotak Neo</t>
        </is>
      </c>
      <c r="E10" s="6" t="inlineStr">
        <is>
          <t>OPPO CPH3009</t>
        </is>
      </c>
      <c r="F10" s="41">
        <f>A10&amp;"|"&amp;D10&amp;"|"&amp;E10</f>
        <v/>
      </c>
      <c r="G10" s="63" t="n">
        <v>911</v>
      </c>
      <c r="H10" s="63" t="n">
        <v>809</v>
      </c>
      <c r="I10" s="63" t="n">
        <v>818</v>
      </c>
      <c r="J10" s="63" t="n">
        <v>790</v>
      </c>
      <c r="K10" s="63" t="n">
        <v>798</v>
      </c>
      <c r="L10" s="64">
        <f>IF(COUNT(G10:K10)=0,"",MEDIAN(G10:K10))</f>
        <v/>
      </c>
      <c r="M10" s="65">
        <f>IF(COUNT(G10:K10)=0,"",MIN(G10:K10))</f>
        <v/>
      </c>
      <c r="N10" s="65">
        <f>IF(COUNT(G10:K10)=0,"",MAX(G10:K10))</f>
        <v/>
      </c>
      <c r="O10" s="45">
        <f>IF(COUNT(G10:K10)&lt;2,"",IF(L10=0,"",(N10-M10)/L10))</f>
        <v/>
      </c>
      <c r="P10" s="5" t="n"/>
    </row>
    <row r="11">
      <c r="A11" s="6" t="inlineStr">
        <is>
          <t>L1</t>
        </is>
      </c>
      <c r="B11" s="6" t="inlineStr">
        <is>
          <t>Cold start (OS-reported launch time)</t>
        </is>
      </c>
      <c r="C11" s="6" t="inlineStr">
        <is>
          <t>ms</t>
        </is>
      </c>
      <c r="D11" s="6" t="inlineStr">
        <is>
          <t>SAHI</t>
        </is>
      </c>
      <c r="E11" s="6" t="inlineStr">
        <is>
          <t>OPPO CPH3009</t>
        </is>
      </c>
      <c r="F11" s="41">
        <f>A11&amp;"|"&amp;D11&amp;"|"&amp;E11</f>
        <v/>
      </c>
      <c r="G11" s="63" t="n">
        <v>794</v>
      </c>
      <c r="H11" s="63" t="n">
        <v>727</v>
      </c>
      <c r="I11" s="63" t="n">
        <v>712</v>
      </c>
      <c r="J11" s="63" t="n">
        <v>715</v>
      </c>
      <c r="K11" s="63" t="n">
        <v>748</v>
      </c>
      <c r="L11" s="64">
        <f>IF(COUNT(G11:K11)=0,"",MEDIAN(G11:K11))</f>
        <v/>
      </c>
      <c r="M11" s="65">
        <f>IF(COUNT(G11:K11)=0,"",MIN(G11:K11))</f>
        <v/>
      </c>
      <c r="N11" s="65">
        <f>IF(COUNT(G11:K11)=0,"",MAX(G11:K11))</f>
        <v/>
      </c>
      <c r="O11" s="45">
        <f>IF(COUNT(G11:K11)&lt;2,"",IF(L11=0,"",(N11-M11)/L11))</f>
        <v/>
      </c>
      <c r="P11" s="5" t="n"/>
    </row>
    <row r="12">
      <c r="A12" s="8" t="inlineStr">
        <is>
          <t>L2</t>
        </is>
      </c>
      <c r="B12" s="8" t="inlineStr">
        <is>
          <t>PIN/biometric submit → home fully rendered</t>
        </is>
      </c>
      <c r="C12" s="8" t="inlineStr">
        <is>
          <t>ms</t>
        </is>
      </c>
      <c r="D12" s="8" t="inlineStr">
        <is>
          <t>RISE</t>
        </is>
      </c>
      <c r="E12" s="8" t="inlineStr">
        <is>
          <t>OPPO CPH3009</t>
        </is>
      </c>
      <c r="F12" s="41">
        <f>A12&amp;"|"&amp;D12&amp;"|"&amp;E12</f>
        <v/>
      </c>
      <c r="G12" s="63" t="n"/>
      <c r="H12" s="63" t="n"/>
      <c r="I12" s="63" t="n"/>
      <c r="J12" s="63" t="n"/>
      <c r="K12" s="63" t="n"/>
      <c r="L12" s="64">
        <f>IF(COUNT(G12:K12)=0,"",MEDIAN(G12:K12))</f>
        <v/>
      </c>
      <c r="M12" s="65">
        <f>IF(COUNT(G12:K12)=0,"",MIN(G12:K12))</f>
        <v/>
      </c>
      <c r="N12" s="65">
        <f>IF(COUNT(G12:K12)=0,"",MAX(G12:K12))</f>
        <v/>
      </c>
      <c r="O12" s="45">
        <f>IF(COUNT(G12:K12)&lt;2,"",IF(L12=0,"",(N12-M12)/L12))</f>
        <v/>
      </c>
      <c r="P12" s="5" t="n"/>
    </row>
    <row r="13">
      <c r="A13" s="46" t="inlineStr">
        <is>
          <t>L2</t>
        </is>
      </c>
      <c r="B13" s="46" t="inlineStr">
        <is>
          <t>PIN/biometric submit → home fully rendered</t>
        </is>
      </c>
      <c r="C13" s="46" t="inlineStr">
        <is>
          <t>ms</t>
        </is>
      </c>
      <c r="D13" s="46" t="inlineStr">
        <is>
          <t>Kite</t>
        </is>
      </c>
      <c r="E13" s="46" t="inlineStr">
        <is>
          <t>OPPO CPH3009</t>
        </is>
      </c>
      <c r="F13" s="41">
        <f>A13&amp;"|"&amp;D13&amp;"|"&amp;E13</f>
        <v/>
      </c>
      <c r="G13" s="63" t="n"/>
      <c r="H13" s="63" t="n"/>
      <c r="I13" s="63" t="n"/>
      <c r="J13" s="63" t="n"/>
      <c r="K13" s="63" t="n"/>
      <c r="L13" s="64">
        <f>IF(COUNT(G13:K13)=0,"",MEDIAN(G13:K13))</f>
        <v/>
      </c>
      <c r="M13" s="65">
        <f>IF(COUNT(G13:K13)=0,"",MIN(G13:K13))</f>
        <v/>
      </c>
      <c r="N13" s="65">
        <f>IF(COUNT(G13:K13)=0,"",MAX(G13:K13))</f>
        <v/>
      </c>
      <c r="O13" s="45">
        <f>IF(COUNT(G13:K13)&lt;2,"",IF(L13=0,"",(N13-M13)/L13))</f>
        <v/>
      </c>
      <c r="P13" s="5" t="n"/>
    </row>
    <row r="14">
      <c r="A14" s="46" t="inlineStr">
        <is>
          <t>L2</t>
        </is>
      </c>
      <c r="B14" s="46" t="inlineStr">
        <is>
          <t>PIN/biometric submit → home fully rendered</t>
        </is>
      </c>
      <c r="C14" s="46" t="inlineStr">
        <is>
          <t>ms</t>
        </is>
      </c>
      <c r="D14" s="46" t="inlineStr">
        <is>
          <t>Groww</t>
        </is>
      </c>
      <c r="E14" s="46" t="inlineStr">
        <is>
          <t>OPPO CPH3009</t>
        </is>
      </c>
      <c r="F14" s="41">
        <f>A14&amp;"|"&amp;D14&amp;"|"&amp;E14</f>
        <v/>
      </c>
      <c r="G14" s="63" t="n"/>
      <c r="H14" s="63" t="n"/>
      <c r="I14" s="63" t="n"/>
      <c r="J14" s="63" t="n"/>
      <c r="K14" s="63" t="n"/>
      <c r="L14" s="64">
        <f>IF(COUNT(G14:K14)=0,"",MEDIAN(G14:K14))</f>
        <v/>
      </c>
      <c r="M14" s="65">
        <f>IF(COUNT(G14:K14)=0,"",MIN(G14:K14))</f>
        <v/>
      </c>
      <c r="N14" s="65">
        <f>IF(COUNT(G14:K14)=0,"",MAX(G14:K14))</f>
        <v/>
      </c>
      <c r="O14" s="45">
        <f>IF(COUNT(G14:K14)&lt;2,"",IF(L14=0,"",(N14-M14)/L14))</f>
        <v/>
      </c>
      <c r="P14" s="5" t="n"/>
    </row>
    <row r="15">
      <c r="A15" s="46" t="inlineStr">
        <is>
          <t>L2</t>
        </is>
      </c>
      <c r="B15" s="46" t="inlineStr">
        <is>
          <t>PIN/biometric submit → home fully rendered</t>
        </is>
      </c>
      <c r="C15" s="46" t="inlineStr">
        <is>
          <t>ms</t>
        </is>
      </c>
      <c r="D15" s="46" t="inlineStr">
        <is>
          <t>Angel One</t>
        </is>
      </c>
      <c r="E15" s="46" t="inlineStr">
        <is>
          <t>OPPO CPH3009</t>
        </is>
      </c>
      <c r="F15" s="41">
        <f>A15&amp;"|"&amp;D15&amp;"|"&amp;E15</f>
        <v/>
      </c>
      <c r="G15" s="63" t="n"/>
      <c r="H15" s="63" t="n"/>
      <c r="I15" s="63" t="n"/>
      <c r="J15" s="63" t="n"/>
      <c r="K15" s="63" t="n"/>
      <c r="L15" s="64">
        <f>IF(COUNT(G15:K15)=0,"",MEDIAN(G15:K15))</f>
        <v/>
      </c>
      <c r="M15" s="65">
        <f>IF(COUNT(G15:K15)=0,"",MIN(G15:K15))</f>
        <v/>
      </c>
      <c r="N15" s="65">
        <f>IF(COUNT(G15:K15)=0,"",MAX(G15:K15))</f>
        <v/>
      </c>
      <c r="O15" s="45">
        <f>IF(COUNT(G15:K15)&lt;2,"",IF(L15=0,"",(N15-M15)/L15))</f>
        <v/>
      </c>
      <c r="P15" s="5" t="n"/>
    </row>
    <row r="16">
      <c r="A16" s="46" t="inlineStr">
        <is>
          <t>L2</t>
        </is>
      </c>
      <c r="B16" s="46" t="inlineStr">
        <is>
          <t>PIN/biometric submit → home fully rendered</t>
        </is>
      </c>
      <c r="C16" s="46" t="inlineStr">
        <is>
          <t>ms</t>
        </is>
      </c>
      <c r="D16" s="46" t="inlineStr">
        <is>
          <t>INDmoney</t>
        </is>
      </c>
      <c r="E16" s="46" t="inlineStr">
        <is>
          <t>OPPO CPH3009</t>
        </is>
      </c>
      <c r="F16" s="41">
        <f>A16&amp;"|"&amp;D16&amp;"|"&amp;E16</f>
        <v/>
      </c>
      <c r="G16" s="63" t="n"/>
      <c r="H16" s="63" t="n"/>
      <c r="I16" s="63" t="n"/>
      <c r="J16" s="63" t="n"/>
      <c r="K16" s="63" t="n"/>
      <c r="L16" s="64">
        <f>IF(COUNT(G16:K16)=0,"",MEDIAN(G16:K16))</f>
        <v/>
      </c>
      <c r="M16" s="65">
        <f>IF(COUNT(G16:K16)=0,"",MIN(G16:K16))</f>
        <v/>
      </c>
      <c r="N16" s="65">
        <f>IF(COUNT(G16:K16)=0,"",MAX(G16:K16))</f>
        <v/>
      </c>
      <c r="O16" s="45">
        <f>IF(COUNT(G16:K16)&lt;2,"",IF(L16=0,"",(N16-M16)/L16))</f>
        <v/>
      </c>
      <c r="P16" s="5" t="n"/>
    </row>
    <row r="17">
      <c r="A17" s="46" t="inlineStr">
        <is>
          <t>L2</t>
        </is>
      </c>
      <c r="B17" s="46" t="inlineStr">
        <is>
          <t>PIN/biometric submit → home fully rendered</t>
        </is>
      </c>
      <c r="C17" s="46" t="inlineStr">
        <is>
          <t>ms</t>
        </is>
      </c>
      <c r="D17" s="46" t="inlineStr">
        <is>
          <t>Kotak Neo</t>
        </is>
      </c>
      <c r="E17" s="46" t="inlineStr">
        <is>
          <t>OPPO CPH3009</t>
        </is>
      </c>
      <c r="F17" s="41">
        <f>A17&amp;"|"&amp;D17&amp;"|"&amp;E17</f>
        <v/>
      </c>
      <c r="G17" s="63" t="n"/>
      <c r="H17" s="63" t="n"/>
      <c r="I17" s="63" t="n"/>
      <c r="J17" s="63" t="n"/>
      <c r="K17" s="63" t="n"/>
      <c r="L17" s="64">
        <f>IF(COUNT(G17:K17)=0,"",MEDIAN(G17:K17))</f>
        <v/>
      </c>
      <c r="M17" s="65">
        <f>IF(COUNT(G17:K17)=0,"",MIN(G17:K17))</f>
        <v/>
      </c>
      <c r="N17" s="65">
        <f>IF(COUNT(G17:K17)=0,"",MAX(G17:K17))</f>
        <v/>
      </c>
      <c r="O17" s="45">
        <f>IF(COUNT(G17:K17)&lt;2,"",IF(L17=0,"",(N17-M17)/L17))</f>
        <v/>
      </c>
      <c r="P17" s="5" t="n"/>
    </row>
    <row r="18">
      <c r="A18" s="46" t="inlineStr">
        <is>
          <t>L2</t>
        </is>
      </c>
      <c r="B18" s="46" t="inlineStr">
        <is>
          <t>PIN/biometric submit → home fully rendered</t>
        </is>
      </c>
      <c r="C18" s="46" t="inlineStr">
        <is>
          <t>ms</t>
        </is>
      </c>
      <c r="D18" s="46" t="inlineStr">
        <is>
          <t>SAHI</t>
        </is>
      </c>
      <c r="E18" s="46" t="inlineStr">
        <is>
          <t>OPPO CPH3009</t>
        </is>
      </c>
      <c r="F18" s="41">
        <f>A18&amp;"|"&amp;D18&amp;"|"&amp;E18</f>
        <v/>
      </c>
      <c r="G18" s="63" t="n"/>
      <c r="H18" s="63" t="n"/>
      <c r="I18" s="63" t="n"/>
      <c r="J18" s="63" t="n"/>
      <c r="K18" s="63" t="n"/>
      <c r="L18" s="64">
        <f>IF(COUNT(G18:K18)=0,"",MEDIAN(G18:K18))</f>
        <v/>
      </c>
      <c r="M18" s="65">
        <f>IF(COUNT(G18:K18)=0,"",MIN(G18:K18))</f>
        <v/>
      </c>
      <c r="N18" s="65">
        <f>IF(COUNT(G18:K18)=0,"",MAX(G18:K18))</f>
        <v/>
      </c>
      <c r="O18" s="45">
        <f>IF(COUNT(G18:K18)&lt;2,"",IF(L18=0,"",(N18-M18)/L18))</f>
        <v/>
      </c>
      <c r="P18" s="5" t="n"/>
    </row>
    <row r="19">
      <c r="A19" s="8" t="inlineStr">
        <is>
          <t>L3</t>
        </is>
      </c>
      <c r="B19" s="8" t="inlineStr">
        <is>
          <t>Watchlist tab &gt; Bench 20 → Bench 20 symbols (20 stocks, A–Z) fully rendered (first open, Medium account)</t>
        </is>
      </c>
      <c r="C19" s="8" t="inlineStr">
        <is>
          <t>ms</t>
        </is>
      </c>
      <c r="D19" s="8" t="inlineStr">
        <is>
          <t>RISE</t>
        </is>
      </c>
      <c r="E19" s="8" t="inlineStr">
        <is>
          <t>OPPO CPH3009</t>
        </is>
      </c>
      <c r="F19" s="41">
        <f>A19&amp;"|"&amp;D19&amp;"|"&amp;E19</f>
        <v/>
      </c>
      <c r="G19" s="63" t="n"/>
      <c r="H19" s="63" t="n"/>
      <c r="I19" s="63" t="n"/>
      <c r="J19" s="63" t="n"/>
      <c r="K19" s="63" t="n"/>
      <c r="L19" s="64">
        <f>IF(COUNT(G19:K19)=0,"",MEDIAN(G19:K19))</f>
        <v/>
      </c>
      <c r="M19" s="65">
        <f>IF(COUNT(G19:K19)=0,"",MIN(G19:K19))</f>
        <v/>
      </c>
      <c r="N19" s="65">
        <f>IF(COUNT(G19:K19)=0,"",MAX(G19:K19))</f>
        <v/>
      </c>
      <c r="O19" s="45">
        <f>IF(COUNT(G19:K19)&lt;2,"",IF(L19=0,"",(N19-M19)/L19))</f>
        <v/>
      </c>
      <c r="P19" s="5" t="n"/>
    </row>
    <row r="20">
      <c r="A20" s="6" t="inlineStr">
        <is>
          <t>L3</t>
        </is>
      </c>
      <c r="B20" s="6" t="inlineStr">
        <is>
          <t>Watchlist tab &gt; Bench 20 → Bench 20 symbols (20 stocks, A–Z) fully rendered (first open, Medium account)</t>
        </is>
      </c>
      <c r="C20" s="6" t="inlineStr">
        <is>
          <t>ms</t>
        </is>
      </c>
      <c r="D20" s="6" t="inlineStr">
        <is>
          <t>Kite</t>
        </is>
      </c>
      <c r="E20" s="6" t="inlineStr">
        <is>
          <t>OPPO CPH3009</t>
        </is>
      </c>
      <c r="F20" s="41">
        <f>A20&amp;"|"&amp;D20&amp;"|"&amp;E20</f>
        <v/>
      </c>
      <c r="G20" s="63" t="n"/>
      <c r="H20" s="63" t="n"/>
      <c r="I20" s="63" t="n"/>
      <c r="J20" s="63" t="n"/>
      <c r="K20" s="63" t="n"/>
      <c r="L20" s="64">
        <f>IF(COUNT(G20:K20)=0,"",MEDIAN(G20:K20))</f>
        <v/>
      </c>
      <c r="M20" s="65">
        <f>IF(COUNT(G20:K20)=0,"",MIN(G20:K20))</f>
        <v/>
      </c>
      <c r="N20" s="65">
        <f>IF(COUNT(G20:K20)=0,"",MAX(G20:K20))</f>
        <v/>
      </c>
      <c r="O20" s="45">
        <f>IF(COUNT(G20:K20)&lt;2,"",IF(L20=0,"",(N20-M20)/L20))</f>
        <v/>
      </c>
      <c r="P20" s="5" t="n"/>
    </row>
    <row r="21">
      <c r="A21" s="6" t="inlineStr">
        <is>
          <t>L3</t>
        </is>
      </c>
      <c r="B21" s="6" t="inlineStr">
        <is>
          <t>Watchlist tab &gt; Bench 20 → Bench 20 symbols (20 stocks, A–Z) fully rendered (first open, Medium account)</t>
        </is>
      </c>
      <c r="C21" s="6" t="inlineStr">
        <is>
          <t>ms</t>
        </is>
      </c>
      <c r="D21" s="6" t="inlineStr">
        <is>
          <t>Groww</t>
        </is>
      </c>
      <c r="E21" s="6" t="inlineStr">
        <is>
          <t>OPPO CPH3009</t>
        </is>
      </c>
      <c r="F21" s="41">
        <f>A21&amp;"|"&amp;D21&amp;"|"&amp;E21</f>
        <v/>
      </c>
      <c r="G21" s="63" t="n"/>
      <c r="H21" s="63" t="n"/>
      <c r="I21" s="63" t="n"/>
      <c r="J21" s="63" t="n"/>
      <c r="K21" s="63" t="n"/>
      <c r="L21" s="64">
        <f>IF(COUNT(G21:K21)=0,"",MEDIAN(G21:K21))</f>
        <v/>
      </c>
      <c r="M21" s="65">
        <f>IF(COUNT(G21:K21)=0,"",MIN(G21:K21))</f>
        <v/>
      </c>
      <c r="N21" s="65">
        <f>IF(COUNT(G21:K21)=0,"",MAX(G21:K21))</f>
        <v/>
      </c>
      <c r="O21" s="45">
        <f>IF(COUNT(G21:K21)&lt;2,"",IF(L21=0,"",(N21-M21)/L21))</f>
        <v/>
      </c>
      <c r="P21" s="5" t="n"/>
    </row>
    <row r="22">
      <c r="A22" s="6" t="inlineStr">
        <is>
          <t>L3</t>
        </is>
      </c>
      <c r="B22" s="6" t="inlineStr">
        <is>
          <t>Watchlist tab &gt; Bench 20 → Bench 20 symbols (20 stocks, A–Z) fully rendered (first open, Medium account)</t>
        </is>
      </c>
      <c r="C22" s="6" t="inlineStr">
        <is>
          <t>ms</t>
        </is>
      </c>
      <c r="D22" s="6" t="inlineStr">
        <is>
          <t>Angel One</t>
        </is>
      </c>
      <c r="E22" s="6" t="inlineStr">
        <is>
          <t>OPPO CPH3009</t>
        </is>
      </c>
      <c r="F22" s="41">
        <f>A22&amp;"|"&amp;D22&amp;"|"&amp;E22</f>
        <v/>
      </c>
      <c r="G22" s="63" t="n"/>
      <c r="H22" s="63" t="n"/>
      <c r="I22" s="63" t="n"/>
      <c r="J22" s="63" t="n"/>
      <c r="K22" s="63" t="n"/>
      <c r="L22" s="64">
        <f>IF(COUNT(G22:K22)=0,"",MEDIAN(G22:K22))</f>
        <v/>
      </c>
      <c r="M22" s="65">
        <f>IF(COUNT(G22:K22)=0,"",MIN(G22:K22))</f>
        <v/>
      </c>
      <c r="N22" s="65">
        <f>IF(COUNT(G22:K22)=0,"",MAX(G22:K22))</f>
        <v/>
      </c>
      <c r="O22" s="45">
        <f>IF(COUNT(G22:K22)&lt;2,"",IF(L22=0,"",(N22-M22)/L22))</f>
        <v/>
      </c>
      <c r="P22" s="5" t="n"/>
    </row>
    <row r="23">
      <c r="A23" s="6" t="inlineStr">
        <is>
          <t>L3</t>
        </is>
      </c>
      <c r="B23" s="6" t="inlineStr">
        <is>
          <t>Watchlist tab &gt; Bench 20 → Bench 20 symbols (20 stocks, A–Z) fully rendered (first open, Medium account)</t>
        </is>
      </c>
      <c r="C23" s="6" t="inlineStr">
        <is>
          <t>ms</t>
        </is>
      </c>
      <c r="D23" s="6" t="inlineStr">
        <is>
          <t>INDmoney</t>
        </is>
      </c>
      <c r="E23" s="6" t="inlineStr">
        <is>
          <t>OPPO CPH3009</t>
        </is>
      </c>
      <c r="F23" s="41">
        <f>A23&amp;"|"&amp;D23&amp;"|"&amp;E23</f>
        <v/>
      </c>
      <c r="G23" s="63" t="n"/>
      <c r="H23" s="63" t="n"/>
      <c r="I23" s="63" t="n"/>
      <c r="J23" s="63" t="n"/>
      <c r="K23" s="63" t="n"/>
      <c r="L23" s="64">
        <f>IF(COUNT(G23:K23)=0,"",MEDIAN(G23:K23))</f>
        <v/>
      </c>
      <c r="M23" s="65">
        <f>IF(COUNT(G23:K23)=0,"",MIN(G23:K23))</f>
        <v/>
      </c>
      <c r="N23" s="65">
        <f>IF(COUNT(G23:K23)=0,"",MAX(G23:K23))</f>
        <v/>
      </c>
      <c r="O23" s="45">
        <f>IF(COUNT(G23:K23)&lt;2,"",IF(L23=0,"",(N23-M23)/L23))</f>
        <v/>
      </c>
      <c r="P23" s="5" t="n"/>
    </row>
    <row r="24">
      <c r="A24" s="6" t="inlineStr">
        <is>
          <t>L3</t>
        </is>
      </c>
      <c r="B24" s="6" t="inlineStr">
        <is>
          <t>Watchlist tab &gt; Bench 20 → Bench 20 symbols (20 stocks, A–Z) fully rendered (first open, Medium account)</t>
        </is>
      </c>
      <c r="C24" s="6" t="inlineStr">
        <is>
          <t>ms</t>
        </is>
      </c>
      <c r="D24" s="6" t="inlineStr">
        <is>
          <t>Kotak Neo</t>
        </is>
      </c>
      <c r="E24" s="6" t="inlineStr">
        <is>
          <t>OPPO CPH3009</t>
        </is>
      </c>
      <c r="F24" s="41">
        <f>A24&amp;"|"&amp;D24&amp;"|"&amp;E24</f>
        <v/>
      </c>
      <c r="G24" s="63" t="n"/>
      <c r="H24" s="63" t="n"/>
      <c r="I24" s="63" t="n"/>
      <c r="J24" s="63" t="n"/>
      <c r="K24" s="63" t="n"/>
      <c r="L24" s="64">
        <f>IF(COUNT(G24:K24)=0,"",MEDIAN(G24:K24))</f>
        <v/>
      </c>
      <c r="M24" s="65">
        <f>IF(COUNT(G24:K24)=0,"",MIN(G24:K24))</f>
        <v/>
      </c>
      <c r="N24" s="65">
        <f>IF(COUNT(G24:K24)=0,"",MAX(G24:K24))</f>
        <v/>
      </c>
      <c r="O24" s="45">
        <f>IF(COUNT(G24:K24)&lt;2,"",IF(L24=0,"",(N24-M24)/L24))</f>
        <v/>
      </c>
      <c r="P24" s="5" t="n"/>
    </row>
    <row r="25">
      <c r="A25" s="6" t="inlineStr">
        <is>
          <t>L3</t>
        </is>
      </c>
      <c r="B25" s="6" t="inlineStr">
        <is>
          <t>Watchlist tab &gt; Bench 20 → Bench 20 symbols (20 stocks, A–Z) fully rendered (first open, Medium account)</t>
        </is>
      </c>
      <c r="C25" s="6" t="inlineStr">
        <is>
          <t>ms</t>
        </is>
      </c>
      <c r="D25" s="6" t="inlineStr">
        <is>
          <t>SAHI</t>
        </is>
      </c>
      <c r="E25" s="6" t="inlineStr">
        <is>
          <t>OPPO CPH3009</t>
        </is>
      </c>
      <c r="F25" s="41">
        <f>A25&amp;"|"&amp;D25&amp;"|"&amp;E25</f>
        <v/>
      </c>
      <c r="G25" s="63" t="n"/>
      <c r="H25" s="63" t="n"/>
      <c r="I25" s="63" t="n"/>
      <c r="J25" s="63" t="n"/>
      <c r="K25" s="63" t="n"/>
      <c r="L25" s="64">
        <f>IF(COUNT(G25:K25)=0,"",MEDIAN(G25:K25))</f>
        <v/>
      </c>
      <c r="M25" s="65">
        <f>IF(COUNT(G25:K25)=0,"",MIN(G25:K25))</f>
        <v/>
      </c>
      <c r="N25" s="65">
        <f>IF(COUNT(G25:K25)=0,"",MAX(G25:K25))</f>
        <v/>
      </c>
      <c r="O25" s="45">
        <f>IF(COUNT(G25:K25)&lt;2,"",IF(L25=0,"",(N25-M25)/L25))</f>
        <v/>
      </c>
      <c r="P25" s="5" t="n"/>
    </row>
    <row r="26">
      <c r="A26" s="8" t="inlineStr">
        <is>
          <t>L4</t>
        </is>
      </c>
      <c r="B26" s="8" t="inlineStr">
        <is>
          <t>Watchlist tab &gt; Bench 20 re-open (second visit in same session)</t>
        </is>
      </c>
      <c r="C26" s="8" t="inlineStr">
        <is>
          <t>ms</t>
        </is>
      </c>
      <c r="D26" s="8" t="inlineStr">
        <is>
          <t>RISE</t>
        </is>
      </c>
      <c r="E26" s="8" t="inlineStr">
        <is>
          <t>OPPO CPH3009</t>
        </is>
      </c>
      <c r="F26" s="41">
        <f>A26&amp;"|"&amp;D26&amp;"|"&amp;E26</f>
        <v/>
      </c>
      <c r="G26" s="63" t="n"/>
      <c r="H26" s="63" t="n"/>
      <c r="I26" s="63" t="n"/>
      <c r="J26" s="63" t="n"/>
      <c r="K26" s="63" t="n"/>
      <c r="L26" s="64">
        <f>IF(COUNT(G26:K26)=0,"",MEDIAN(G26:K26))</f>
        <v/>
      </c>
      <c r="M26" s="65">
        <f>IF(COUNT(G26:K26)=0,"",MIN(G26:K26))</f>
        <v/>
      </c>
      <c r="N26" s="65">
        <f>IF(COUNT(G26:K26)=0,"",MAX(G26:K26))</f>
        <v/>
      </c>
      <c r="O26" s="45">
        <f>IF(COUNT(G26:K26)&lt;2,"",IF(L26=0,"",(N26-M26)/L26))</f>
        <v/>
      </c>
      <c r="P26" s="5" t="n"/>
    </row>
    <row r="27">
      <c r="A27" s="46" t="inlineStr">
        <is>
          <t>L4</t>
        </is>
      </c>
      <c r="B27" s="46" t="inlineStr">
        <is>
          <t>Watchlist tab &gt; Bench 20 re-open (second visit in same session)</t>
        </is>
      </c>
      <c r="C27" s="46" t="inlineStr">
        <is>
          <t>ms</t>
        </is>
      </c>
      <c r="D27" s="46" t="inlineStr">
        <is>
          <t>Kite</t>
        </is>
      </c>
      <c r="E27" s="46" t="inlineStr">
        <is>
          <t>OPPO CPH3009</t>
        </is>
      </c>
      <c r="F27" s="41">
        <f>A27&amp;"|"&amp;D27&amp;"|"&amp;E27</f>
        <v/>
      </c>
      <c r="G27" s="63" t="n"/>
      <c r="H27" s="63" t="n"/>
      <c r="I27" s="63" t="n"/>
      <c r="J27" s="63" t="n"/>
      <c r="K27" s="63" t="n"/>
      <c r="L27" s="64">
        <f>IF(COUNT(G27:K27)=0,"",MEDIAN(G27:K27))</f>
        <v/>
      </c>
      <c r="M27" s="65">
        <f>IF(COUNT(G27:K27)=0,"",MIN(G27:K27))</f>
        <v/>
      </c>
      <c r="N27" s="65">
        <f>IF(COUNT(G27:K27)=0,"",MAX(G27:K27))</f>
        <v/>
      </c>
      <c r="O27" s="45">
        <f>IF(COUNT(G27:K27)&lt;2,"",IF(L27=0,"",(N27-M27)/L27))</f>
        <v/>
      </c>
      <c r="P27" s="5" t="n"/>
    </row>
    <row r="28">
      <c r="A28" s="46" t="inlineStr">
        <is>
          <t>L4</t>
        </is>
      </c>
      <c r="B28" s="46" t="inlineStr">
        <is>
          <t>Watchlist tab &gt; Bench 20 re-open (second visit in same session)</t>
        </is>
      </c>
      <c r="C28" s="46" t="inlineStr">
        <is>
          <t>ms</t>
        </is>
      </c>
      <c r="D28" s="46" t="inlineStr">
        <is>
          <t>Groww</t>
        </is>
      </c>
      <c r="E28" s="46" t="inlineStr">
        <is>
          <t>OPPO CPH3009</t>
        </is>
      </c>
      <c r="F28" s="41">
        <f>A28&amp;"|"&amp;D28&amp;"|"&amp;E28</f>
        <v/>
      </c>
      <c r="G28" s="63" t="n"/>
      <c r="H28" s="63" t="n"/>
      <c r="I28" s="63" t="n"/>
      <c r="J28" s="63" t="n"/>
      <c r="K28" s="63" t="n"/>
      <c r="L28" s="64">
        <f>IF(COUNT(G28:K28)=0,"",MEDIAN(G28:K28))</f>
        <v/>
      </c>
      <c r="M28" s="65">
        <f>IF(COUNT(G28:K28)=0,"",MIN(G28:K28))</f>
        <v/>
      </c>
      <c r="N28" s="65">
        <f>IF(COUNT(G28:K28)=0,"",MAX(G28:K28))</f>
        <v/>
      </c>
      <c r="O28" s="45">
        <f>IF(COUNT(G28:K28)&lt;2,"",IF(L28=0,"",(N28-M28)/L28))</f>
        <v/>
      </c>
      <c r="P28" s="5" t="n"/>
    </row>
    <row r="29">
      <c r="A29" s="46" t="inlineStr">
        <is>
          <t>L4</t>
        </is>
      </c>
      <c r="B29" s="46" t="inlineStr">
        <is>
          <t>Watchlist tab &gt; Bench 20 re-open (second visit in same session)</t>
        </is>
      </c>
      <c r="C29" s="46" t="inlineStr">
        <is>
          <t>ms</t>
        </is>
      </c>
      <c r="D29" s="46" t="inlineStr">
        <is>
          <t>Angel One</t>
        </is>
      </c>
      <c r="E29" s="46" t="inlineStr">
        <is>
          <t>OPPO CPH3009</t>
        </is>
      </c>
      <c r="F29" s="41">
        <f>A29&amp;"|"&amp;D29&amp;"|"&amp;E29</f>
        <v/>
      </c>
      <c r="G29" s="63" t="n"/>
      <c r="H29" s="63" t="n"/>
      <c r="I29" s="63" t="n"/>
      <c r="J29" s="63" t="n"/>
      <c r="K29" s="63" t="n"/>
      <c r="L29" s="64">
        <f>IF(COUNT(G29:K29)=0,"",MEDIAN(G29:K29))</f>
        <v/>
      </c>
      <c r="M29" s="65">
        <f>IF(COUNT(G29:K29)=0,"",MIN(G29:K29))</f>
        <v/>
      </c>
      <c r="N29" s="65">
        <f>IF(COUNT(G29:K29)=0,"",MAX(G29:K29))</f>
        <v/>
      </c>
      <c r="O29" s="45">
        <f>IF(COUNT(G29:K29)&lt;2,"",IF(L29=0,"",(N29-M29)/L29))</f>
        <v/>
      </c>
      <c r="P29" s="5" t="n"/>
    </row>
    <row r="30">
      <c r="A30" s="46" t="inlineStr">
        <is>
          <t>L4</t>
        </is>
      </c>
      <c r="B30" s="46" t="inlineStr">
        <is>
          <t>Watchlist tab &gt; Bench 20 re-open (second visit in same session)</t>
        </is>
      </c>
      <c r="C30" s="46" t="inlineStr">
        <is>
          <t>ms</t>
        </is>
      </c>
      <c r="D30" s="46" t="inlineStr">
        <is>
          <t>INDmoney</t>
        </is>
      </c>
      <c r="E30" s="46" t="inlineStr">
        <is>
          <t>OPPO CPH3009</t>
        </is>
      </c>
      <c r="F30" s="41">
        <f>A30&amp;"|"&amp;D30&amp;"|"&amp;E30</f>
        <v/>
      </c>
      <c r="G30" s="63" t="n"/>
      <c r="H30" s="63" t="n"/>
      <c r="I30" s="63" t="n"/>
      <c r="J30" s="63" t="n"/>
      <c r="K30" s="63" t="n"/>
      <c r="L30" s="64">
        <f>IF(COUNT(G30:K30)=0,"",MEDIAN(G30:K30))</f>
        <v/>
      </c>
      <c r="M30" s="65">
        <f>IF(COUNT(G30:K30)=0,"",MIN(G30:K30))</f>
        <v/>
      </c>
      <c r="N30" s="65">
        <f>IF(COUNT(G30:K30)=0,"",MAX(G30:K30))</f>
        <v/>
      </c>
      <c r="O30" s="45">
        <f>IF(COUNT(G30:K30)&lt;2,"",IF(L30=0,"",(N30-M30)/L30))</f>
        <v/>
      </c>
      <c r="P30" s="5" t="n"/>
    </row>
    <row r="31">
      <c r="A31" s="46" t="inlineStr">
        <is>
          <t>L4</t>
        </is>
      </c>
      <c r="B31" s="46" t="inlineStr">
        <is>
          <t>Watchlist tab &gt; Bench 20 re-open (second visit in same session)</t>
        </is>
      </c>
      <c r="C31" s="46" t="inlineStr">
        <is>
          <t>ms</t>
        </is>
      </c>
      <c r="D31" s="46" t="inlineStr">
        <is>
          <t>Kotak Neo</t>
        </is>
      </c>
      <c r="E31" s="46" t="inlineStr">
        <is>
          <t>OPPO CPH3009</t>
        </is>
      </c>
      <c r="F31" s="41">
        <f>A31&amp;"|"&amp;D31&amp;"|"&amp;E31</f>
        <v/>
      </c>
      <c r="G31" s="63" t="n"/>
      <c r="H31" s="63" t="n"/>
      <c r="I31" s="63" t="n"/>
      <c r="J31" s="63" t="n"/>
      <c r="K31" s="63" t="n"/>
      <c r="L31" s="64">
        <f>IF(COUNT(G31:K31)=0,"",MEDIAN(G31:K31))</f>
        <v/>
      </c>
      <c r="M31" s="65">
        <f>IF(COUNT(G31:K31)=0,"",MIN(G31:K31))</f>
        <v/>
      </c>
      <c r="N31" s="65">
        <f>IF(COUNT(G31:K31)=0,"",MAX(G31:K31))</f>
        <v/>
      </c>
      <c r="O31" s="45">
        <f>IF(COUNT(G31:K31)&lt;2,"",IF(L31=0,"",(N31-M31)/L31))</f>
        <v/>
      </c>
      <c r="P31" s="5" t="n"/>
    </row>
    <row r="32">
      <c r="A32" s="46" t="inlineStr">
        <is>
          <t>L4</t>
        </is>
      </c>
      <c r="B32" s="46" t="inlineStr">
        <is>
          <t>Watchlist tab &gt; Bench 20 re-open (second visit in same session)</t>
        </is>
      </c>
      <c r="C32" s="46" t="inlineStr">
        <is>
          <t>ms</t>
        </is>
      </c>
      <c r="D32" s="46" t="inlineStr">
        <is>
          <t>SAHI</t>
        </is>
      </c>
      <c r="E32" s="46" t="inlineStr">
        <is>
          <t>OPPO CPH3009</t>
        </is>
      </c>
      <c r="F32" s="41">
        <f>A32&amp;"|"&amp;D32&amp;"|"&amp;E32</f>
        <v/>
      </c>
      <c r="G32" s="63" t="n"/>
      <c r="H32" s="63" t="n"/>
      <c r="I32" s="63" t="n"/>
      <c r="J32" s="63" t="n"/>
      <c r="K32" s="63" t="n"/>
      <c r="L32" s="64">
        <f>IF(COUNT(G32:K32)=0,"",MEDIAN(G32:K32))</f>
        <v/>
      </c>
      <c r="M32" s="65">
        <f>IF(COUNT(G32:K32)=0,"",MIN(G32:K32))</f>
        <v/>
      </c>
      <c r="N32" s="65">
        <f>IF(COUNT(G32:K32)=0,"",MAX(G32:K32))</f>
        <v/>
      </c>
      <c r="O32" s="45">
        <f>IF(COUNT(G32:K32)&lt;2,"",IF(L32=0,"",(N32-M32)/L32))</f>
        <v/>
      </c>
      <c r="P32" s="5" t="n"/>
    </row>
    <row r="33">
      <c r="A33" s="8" t="inlineStr">
        <is>
          <t>L5</t>
        </is>
      </c>
      <c r="B33" s="8" t="inlineStr">
        <is>
          <t>stock quote page open</t>
        </is>
      </c>
      <c r="C33" s="8" t="inlineStr">
        <is>
          <t>ms</t>
        </is>
      </c>
      <c r="D33" s="8" t="inlineStr">
        <is>
          <t>RISE</t>
        </is>
      </c>
      <c r="E33" s="8" t="inlineStr">
        <is>
          <t>OPPO CPH3009</t>
        </is>
      </c>
      <c r="F33" s="41">
        <f>A33&amp;"|"&amp;D33&amp;"|"&amp;E33</f>
        <v/>
      </c>
      <c r="G33" s="63" t="n"/>
      <c r="H33" s="63" t="n"/>
      <c r="I33" s="63" t="n"/>
      <c r="J33" s="63" t="n"/>
      <c r="K33" s="63" t="n"/>
      <c r="L33" s="64">
        <f>IF(COUNT(G33:K33)=0,"",MEDIAN(G33:K33))</f>
        <v/>
      </c>
      <c r="M33" s="65">
        <f>IF(COUNT(G33:K33)=0,"",MIN(G33:K33))</f>
        <v/>
      </c>
      <c r="N33" s="65">
        <f>IF(COUNT(G33:K33)=0,"",MAX(G33:K33))</f>
        <v/>
      </c>
      <c r="O33" s="45">
        <f>IF(COUNT(G33:K33)&lt;2,"",IF(L33=0,"",(N33-M33)/L33))</f>
        <v/>
      </c>
      <c r="P33" s="5" t="n"/>
    </row>
    <row r="34">
      <c r="A34" s="6" t="inlineStr">
        <is>
          <t>L5</t>
        </is>
      </c>
      <c r="B34" s="6" t="inlineStr">
        <is>
          <t>stock quote page open</t>
        </is>
      </c>
      <c r="C34" s="6" t="inlineStr">
        <is>
          <t>ms</t>
        </is>
      </c>
      <c r="D34" s="6" t="inlineStr">
        <is>
          <t>Kite</t>
        </is>
      </c>
      <c r="E34" s="6" t="inlineStr">
        <is>
          <t>OPPO CPH3009</t>
        </is>
      </c>
      <c r="F34" s="41">
        <f>A34&amp;"|"&amp;D34&amp;"|"&amp;E34</f>
        <v/>
      </c>
      <c r="G34" s="63" t="n"/>
      <c r="H34" s="63" t="n"/>
      <c r="I34" s="63" t="n"/>
      <c r="J34" s="63" t="n"/>
      <c r="K34" s="63" t="n"/>
      <c r="L34" s="64">
        <f>IF(COUNT(G34:K34)=0,"",MEDIAN(G34:K34))</f>
        <v/>
      </c>
      <c r="M34" s="65">
        <f>IF(COUNT(G34:K34)=0,"",MIN(G34:K34))</f>
        <v/>
      </c>
      <c r="N34" s="65">
        <f>IF(COUNT(G34:K34)=0,"",MAX(G34:K34))</f>
        <v/>
      </c>
      <c r="O34" s="45">
        <f>IF(COUNT(G34:K34)&lt;2,"",IF(L34=0,"",(N34-M34)/L34))</f>
        <v/>
      </c>
      <c r="P34" s="5" t="n"/>
    </row>
    <row r="35">
      <c r="A35" s="6" t="inlineStr">
        <is>
          <t>L5</t>
        </is>
      </c>
      <c r="B35" s="6" t="inlineStr">
        <is>
          <t>stock quote page open</t>
        </is>
      </c>
      <c r="C35" s="6" t="inlineStr">
        <is>
          <t>ms</t>
        </is>
      </c>
      <c r="D35" s="6" t="inlineStr">
        <is>
          <t>Groww</t>
        </is>
      </c>
      <c r="E35" s="6" t="inlineStr">
        <is>
          <t>OPPO CPH3009</t>
        </is>
      </c>
      <c r="F35" s="41">
        <f>A35&amp;"|"&amp;D35&amp;"|"&amp;E35</f>
        <v/>
      </c>
      <c r="G35" s="63" t="n"/>
      <c r="H35" s="63" t="n"/>
      <c r="I35" s="63" t="n"/>
      <c r="J35" s="63" t="n"/>
      <c r="K35" s="63" t="n"/>
      <c r="L35" s="64">
        <f>IF(COUNT(G35:K35)=0,"",MEDIAN(G35:K35))</f>
        <v/>
      </c>
      <c r="M35" s="65">
        <f>IF(COUNT(G35:K35)=0,"",MIN(G35:K35))</f>
        <v/>
      </c>
      <c r="N35" s="65">
        <f>IF(COUNT(G35:K35)=0,"",MAX(G35:K35))</f>
        <v/>
      </c>
      <c r="O35" s="45">
        <f>IF(COUNT(G35:K35)&lt;2,"",IF(L35=0,"",(N35-M35)/L35))</f>
        <v/>
      </c>
      <c r="P35" s="5" t="n"/>
    </row>
    <row r="36">
      <c r="A36" s="6" t="inlineStr">
        <is>
          <t>L5</t>
        </is>
      </c>
      <c r="B36" s="6" t="inlineStr">
        <is>
          <t>stock quote page open</t>
        </is>
      </c>
      <c r="C36" s="6" t="inlineStr">
        <is>
          <t>ms</t>
        </is>
      </c>
      <c r="D36" s="6" t="inlineStr">
        <is>
          <t>Angel One</t>
        </is>
      </c>
      <c r="E36" s="6" t="inlineStr">
        <is>
          <t>OPPO CPH3009</t>
        </is>
      </c>
      <c r="F36" s="41">
        <f>A36&amp;"|"&amp;D36&amp;"|"&amp;E36</f>
        <v/>
      </c>
      <c r="G36" s="63" t="n"/>
      <c r="H36" s="63" t="n"/>
      <c r="I36" s="63" t="n"/>
      <c r="J36" s="63" t="n"/>
      <c r="K36" s="63" t="n"/>
      <c r="L36" s="64">
        <f>IF(COUNT(G36:K36)=0,"",MEDIAN(G36:K36))</f>
        <v/>
      </c>
      <c r="M36" s="65">
        <f>IF(COUNT(G36:K36)=0,"",MIN(G36:K36))</f>
        <v/>
      </c>
      <c r="N36" s="65">
        <f>IF(COUNT(G36:K36)=0,"",MAX(G36:K36))</f>
        <v/>
      </c>
      <c r="O36" s="45">
        <f>IF(COUNT(G36:K36)&lt;2,"",IF(L36=0,"",(N36-M36)/L36))</f>
        <v/>
      </c>
      <c r="P36" s="5" t="n"/>
    </row>
    <row r="37">
      <c r="A37" s="6" t="inlineStr">
        <is>
          <t>L5</t>
        </is>
      </c>
      <c r="B37" s="6" t="inlineStr">
        <is>
          <t>stock quote page open</t>
        </is>
      </c>
      <c r="C37" s="6" t="inlineStr">
        <is>
          <t>ms</t>
        </is>
      </c>
      <c r="D37" s="6" t="inlineStr">
        <is>
          <t>INDmoney</t>
        </is>
      </c>
      <c r="E37" s="6" t="inlineStr">
        <is>
          <t>OPPO CPH3009</t>
        </is>
      </c>
      <c r="F37" s="41">
        <f>A37&amp;"|"&amp;D37&amp;"|"&amp;E37</f>
        <v/>
      </c>
      <c r="G37" s="63" t="n"/>
      <c r="H37" s="63" t="n"/>
      <c r="I37" s="63" t="n"/>
      <c r="J37" s="63" t="n"/>
      <c r="K37" s="63" t="n"/>
      <c r="L37" s="64">
        <f>IF(COUNT(G37:K37)=0,"",MEDIAN(G37:K37))</f>
        <v/>
      </c>
      <c r="M37" s="65">
        <f>IF(COUNT(G37:K37)=0,"",MIN(G37:K37))</f>
        <v/>
      </c>
      <c r="N37" s="65">
        <f>IF(COUNT(G37:K37)=0,"",MAX(G37:K37))</f>
        <v/>
      </c>
      <c r="O37" s="45">
        <f>IF(COUNT(G37:K37)&lt;2,"",IF(L37=0,"",(N37-M37)/L37))</f>
        <v/>
      </c>
      <c r="P37" s="5" t="n"/>
    </row>
    <row r="38">
      <c r="A38" s="6" t="inlineStr">
        <is>
          <t>L5</t>
        </is>
      </c>
      <c r="B38" s="6" t="inlineStr">
        <is>
          <t>stock quote page open</t>
        </is>
      </c>
      <c r="C38" s="6" t="inlineStr">
        <is>
          <t>ms</t>
        </is>
      </c>
      <c r="D38" s="6" t="inlineStr">
        <is>
          <t>Kotak Neo</t>
        </is>
      </c>
      <c r="E38" s="6" t="inlineStr">
        <is>
          <t>OPPO CPH3009</t>
        </is>
      </c>
      <c r="F38" s="41">
        <f>A38&amp;"|"&amp;D38&amp;"|"&amp;E38</f>
        <v/>
      </c>
      <c r="G38" s="63" t="n"/>
      <c r="H38" s="63" t="n"/>
      <c r="I38" s="63" t="n"/>
      <c r="J38" s="63" t="n"/>
      <c r="K38" s="63" t="n"/>
      <c r="L38" s="64">
        <f>IF(COUNT(G38:K38)=0,"",MEDIAN(G38:K38))</f>
        <v/>
      </c>
      <c r="M38" s="65">
        <f>IF(COUNT(G38:K38)=0,"",MIN(G38:K38))</f>
        <v/>
      </c>
      <c r="N38" s="65">
        <f>IF(COUNT(G38:K38)=0,"",MAX(G38:K38))</f>
        <v/>
      </c>
      <c r="O38" s="45">
        <f>IF(COUNT(G38:K38)&lt;2,"",IF(L38=0,"",(N38-M38)/L38))</f>
        <v/>
      </c>
      <c r="P38" s="5" t="n"/>
    </row>
    <row r="39">
      <c r="A39" s="6" t="inlineStr">
        <is>
          <t>L5</t>
        </is>
      </c>
      <c r="B39" s="6" t="inlineStr">
        <is>
          <t>stock quote page open</t>
        </is>
      </c>
      <c r="C39" s="6" t="inlineStr">
        <is>
          <t>ms</t>
        </is>
      </c>
      <c r="D39" s="6" t="inlineStr">
        <is>
          <t>SAHI</t>
        </is>
      </c>
      <c r="E39" s="6" t="inlineStr">
        <is>
          <t>OPPO CPH3009</t>
        </is>
      </c>
      <c r="F39" s="41">
        <f>A39&amp;"|"&amp;D39&amp;"|"&amp;E39</f>
        <v/>
      </c>
      <c r="G39" s="63" t="n"/>
      <c r="H39" s="63" t="n"/>
      <c r="I39" s="63" t="n"/>
      <c r="J39" s="63" t="n"/>
      <c r="K39" s="63" t="n"/>
      <c r="L39" s="64">
        <f>IF(COUNT(G39:K39)=0,"",MEDIAN(G39:K39))</f>
        <v/>
      </c>
      <c r="M39" s="65">
        <f>IF(COUNT(G39:K39)=0,"",MIN(G39:K39))</f>
        <v/>
      </c>
      <c r="N39" s="65">
        <f>IF(COUNT(G39:K39)=0,"",MAX(G39:K39))</f>
        <v/>
      </c>
      <c r="O39" s="45">
        <f>IF(COUNT(G39:K39)&lt;2,"",IF(L39=0,"",(N39-M39)/L39))</f>
        <v/>
      </c>
      <c r="P39" s="5" t="n"/>
    </row>
    <row r="40">
      <c r="A40" s="8" t="inlineStr">
        <is>
          <t>L6</t>
        </is>
      </c>
      <c r="B40" s="8" t="inlineStr">
        <is>
          <t>Pull-to-refresh complete on Watchlist tab &gt; Bench 20</t>
        </is>
      </c>
      <c r="C40" s="8" t="inlineStr">
        <is>
          <t>ms</t>
        </is>
      </c>
      <c r="D40" s="8" t="inlineStr">
        <is>
          <t>RISE</t>
        </is>
      </c>
      <c r="E40" s="8" t="inlineStr">
        <is>
          <t>OPPO CPH3009</t>
        </is>
      </c>
      <c r="F40" s="41">
        <f>A40&amp;"|"&amp;D40&amp;"|"&amp;E40</f>
        <v/>
      </c>
      <c r="G40" s="63" t="n"/>
      <c r="H40" s="63" t="n"/>
      <c r="I40" s="63" t="n"/>
      <c r="J40" s="63" t="n"/>
      <c r="K40" s="63" t="n"/>
      <c r="L40" s="64">
        <f>IF(COUNT(G40:K40)=0,"",MEDIAN(G40:K40))</f>
        <v/>
      </c>
      <c r="M40" s="65">
        <f>IF(COUNT(G40:K40)=0,"",MIN(G40:K40))</f>
        <v/>
      </c>
      <c r="N40" s="65">
        <f>IF(COUNT(G40:K40)=0,"",MAX(G40:K40))</f>
        <v/>
      </c>
      <c r="O40" s="45">
        <f>IF(COUNT(G40:K40)&lt;2,"",IF(L40=0,"",(N40-M40)/L40))</f>
        <v/>
      </c>
      <c r="P40" s="5" t="n"/>
    </row>
    <row r="41">
      <c r="A41" s="46" t="inlineStr">
        <is>
          <t>L6</t>
        </is>
      </c>
      <c r="B41" s="46" t="inlineStr">
        <is>
          <t>Pull-to-refresh complete on Watchlist tab &gt; Bench 20</t>
        </is>
      </c>
      <c r="C41" s="46" t="inlineStr">
        <is>
          <t>ms</t>
        </is>
      </c>
      <c r="D41" s="46" t="inlineStr">
        <is>
          <t>Kite</t>
        </is>
      </c>
      <c r="E41" s="46" t="inlineStr">
        <is>
          <t>OPPO CPH3009</t>
        </is>
      </c>
      <c r="F41" s="41">
        <f>A41&amp;"|"&amp;D41&amp;"|"&amp;E41</f>
        <v/>
      </c>
      <c r="G41" s="63" t="n"/>
      <c r="H41" s="63" t="n"/>
      <c r="I41" s="63" t="n"/>
      <c r="J41" s="63" t="n"/>
      <c r="K41" s="63" t="n"/>
      <c r="L41" s="64">
        <f>IF(COUNT(G41:K41)=0,"",MEDIAN(G41:K41))</f>
        <v/>
      </c>
      <c r="M41" s="65">
        <f>IF(COUNT(G41:K41)=0,"",MIN(G41:K41))</f>
        <v/>
      </c>
      <c r="N41" s="65">
        <f>IF(COUNT(G41:K41)=0,"",MAX(G41:K41))</f>
        <v/>
      </c>
      <c r="O41" s="45">
        <f>IF(COUNT(G41:K41)&lt;2,"",IF(L41=0,"",(N41-M41)/L41))</f>
        <v/>
      </c>
      <c r="P41" s="5" t="n"/>
    </row>
    <row r="42">
      <c r="A42" s="46" t="inlineStr">
        <is>
          <t>L6</t>
        </is>
      </c>
      <c r="B42" s="46" t="inlineStr">
        <is>
          <t>Pull-to-refresh complete on Watchlist tab &gt; Bench 20</t>
        </is>
      </c>
      <c r="C42" s="46" t="inlineStr">
        <is>
          <t>ms</t>
        </is>
      </c>
      <c r="D42" s="46" t="inlineStr">
        <is>
          <t>Groww</t>
        </is>
      </c>
      <c r="E42" s="46" t="inlineStr">
        <is>
          <t>OPPO CPH3009</t>
        </is>
      </c>
      <c r="F42" s="41">
        <f>A42&amp;"|"&amp;D42&amp;"|"&amp;E42</f>
        <v/>
      </c>
      <c r="G42" s="63" t="n"/>
      <c r="H42" s="63" t="n"/>
      <c r="I42" s="63" t="n"/>
      <c r="J42" s="63" t="n"/>
      <c r="K42" s="63" t="n"/>
      <c r="L42" s="64">
        <f>IF(COUNT(G42:K42)=0,"",MEDIAN(G42:K42))</f>
        <v/>
      </c>
      <c r="M42" s="65">
        <f>IF(COUNT(G42:K42)=0,"",MIN(G42:K42))</f>
        <v/>
      </c>
      <c r="N42" s="65">
        <f>IF(COUNT(G42:K42)=0,"",MAX(G42:K42))</f>
        <v/>
      </c>
      <c r="O42" s="45">
        <f>IF(COUNT(G42:K42)&lt;2,"",IF(L42=0,"",(N42-M42)/L42))</f>
        <v/>
      </c>
      <c r="P42" s="5" t="n"/>
    </row>
    <row r="43">
      <c r="A43" s="46" t="inlineStr">
        <is>
          <t>L6</t>
        </is>
      </c>
      <c r="B43" s="46" t="inlineStr">
        <is>
          <t>Pull-to-refresh complete on Watchlist tab &gt; Bench 20</t>
        </is>
      </c>
      <c r="C43" s="46" t="inlineStr">
        <is>
          <t>ms</t>
        </is>
      </c>
      <c r="D43" s="46" t="inlineStr">
        <is>
          <t>Angel One</t>
        </is>
      </c>
      <c r="E43" s="46" t="inlineStr">
        <is>
          <t>OPPO CPH3009</t>
        </is>
      </c>
      <c r="F43" s="41">
        <f>A43&amp;"|"&amp;D43&amp;"|"&amp;E43</f>
        <v/>
      </c>
      <c r="G43" s="63" t="n"/>
      <c r="H43" s="63" t="n"/>
      <c r="I43" s="63" t="n"/>
      <c r="J43" s="63" t="n"/>
      <c r="K43" s="63" t="n"/>
      <c r="L43" s="64">
        <f>IF(COUNT(G43:K43)=0,"",MEDIAN(G43:K43))</f>
        <v/>
      </c>
      <c r="M43" s="65">
        <f>IF(COUNT(G43:K43)=0,"",MIN(G43:K43))</f>
        <v/>
      </c>
      <c r="N43" s="65">
        <f>IF(COUNT(G43:K43)=0,"",MAX(G43:K43))</f>
        <v/>
      </c>
      <c r="O43" s="45">
        <f>IF(COUNT(G43:K43)&lt;2,"",IF(L43=0,"",(N43-M43)/L43))</f>
        <v/>
      </c>
      <c r="P43" s="5" t="n"/>
    </row>
    <row r="44">
      <c r="A44" s="46" t="inlineStr">
        <is>
          <t>L6</t>
        </is>
      </c>
      <c r="B44" s="46" t="inlineStr">
        <is>
          <t>Pull-to-refresh complete on Watchlist tab &gt; Bench 20</t>
        </is>
      </c>
      <c r="C44" s="46" t="inlineStr">
        <is>
          <t>ms</t>
        </is>
      </c>
      <c r="D44" s="46" t="inlineStr">
        <is>
          <t>INDmoney</t>
        </is>
      </c>
      <c r="E44" s="46" t="inlineStr">
        <is>
          <t>OPPO CPH3009</t>
        </is>
      </c>
      <c r="F44" s="41">
        <f>A44&amp;"|"&amp;D44&amp;"|"&amp;E44</f>
        <v/>
      </c>
      <c r="G44" s="63" t="n"/>
      <c r="H44" s="63" t="n"/>
      <c r="I44" s="63" t="n"/>
      <c r="J44" s="63" t="n"/>
      <c r="K44" s="63" t="n"/>
      <c r="L44" s="64">
        <f>IF(COUNT(G44:K44)=0,"",MEDIAN(G44:K44))</f>
        <v/>
      </c>
      <c r="M44" s="65">
        <f>IF(COUNT(G44:K44)=0,"",MIN(G44:K44))</f>
        <v/>
      </c>
      <c r="N44" s="65">
        <f>IF(COUNT(G44:K44)=0,"",MAX(G44:K44))</f>
        <v/>
      </c>
      <c r="O44" s="45">
        <f>IF(COUNT(G44:K44)&lt;2,"",IF(L44=0,"",(N44-M44)/L44))</f>
        <v/>
      </c>
      <c r="P44" s="5" t="n"/>
    </row>
    <row r="45">
      <c r="A45" s="46" t="inlineStr">
        <is>
          <t>L6</t>
        </is>
      </c>
      <c r="B45" s="46" t="inlineStr">
        <is>
          <t>Pull-to-refresh complete on Watchlist tab &gt; Bench 20</t>
        </is>
      </c>
      <c r="C45" s="46" t="inlineStr">
        <is>
          <t>ms</t>
        </is>
      </c>
      <c r="D45" s="46" t="inlineStr">
        <is>
          <t>Kotak Neo</t>
        </is>
      </c>
      <c r="E45" s="46" t="inlineStr">
        <is>
          <t>OPPO CPH3009</t>
        </is>
      </c>
      <c r="F45" s="41">
        <f>A45&amp;"|"&amp;D45&amp;"|"&amp;E45</f>
        <v/>
      </c>
      <c r="G45" s="63" t="n"/>
      <c r="H45" s="63" t="n"/>
      <c r="I45" s="63" t="n"/>
      <c r="J45" s="63" t="n"/>
      <c r="K45" s="63" t="n"/>
      <c r="L45" s="64">
        <f>IF(COUNT(G45:K45)=0,"",MEDIAN(G45:K45))</f>
        <v/>
      </c>
      <c r="M45" s="65">
        <f>IF(COUNT(G45:K45)=0,"",MIN(G45:K45))</f>
        <v/>
      </c>
      <c r="N45" s="65">
        <f>IF(COUNT(G45:K45)=0,"",MAX(G45:K45))</f>
        <v/>
      </c>
      <c r="O45" s="45">
        <f>IF(COUNT(G45:K45)&lt;2,"",IF(L45=0,"",(N45-M45)/L45))</f>
        <v/>
      </c>
      <c r="P45" s="5" t="n"/>
    </row>
    <row r="46">
      <c r="A46" s="46" t="inlineStr">
        <is>
          <t>L6</t>
        </is>
      </c>
      <c r="B46" s="46" t="inlineStr">
        <is>
          <t>Pull-to-refresh complete on Watchlist tab &gt; Bench 20</t>
        </is>
      </c>
      <c r="C46" s="46" t="inlineStr">
        <is>
          <t>ms</t>
        </is>
      </c>
      <c r="D46" s="46" t="inlineStr">
        <is>
          <t>SAHI</t>
        </is>
      </c>
      <c r="E46" s="46" t="inlineStr">
        <is>
          <t>OPPO CPH3009</t>
        </is>
      </c>
      <c r="F46" s="41">
        <f>A46&amp;"|"&amp;D46&amp;"|"&amp;E46</f>
        <v/>
      </c>
      <c r="G46" s="63" t="n"/>
      <c r="H46" s="63" t="n"/>
      <c r="I46" s="63" t="n"/>
      <c r="J46" s="63" t="n"/>
      <c r="K46" s="63" t="n"/>
      <c r="L46" s="64">
        <f>IF(COUNT(G46:K46)=0,"",MEDIAN(G46:K46))</f>
        <v/>
      </c>
      <c r="M46" s="65">
        <f>IF(COUNT(G46:K46)=0,"",MIN(G46:K46))</f>
        <v/>
      </c>
      <c r="N46" s="65">
        <f>IF(COUNT(G46:K46)=0,"",MAX(G46:K46))</f>
        <v/>
      </c>
      <c r="O46" s="45">
        <f>IF(COUNT(G46:K46)&lt;2,"",IF(L46=0,"",(N46-M46)/L46))</f>
        <v/>
      </c>
      <c r="P46" s="5" t="n"/>
    </row>
    <row r="47">
      <c r="A47" s="8" t="inlineStr">
        <is>
          <t>L7</t>
        </is>
      </c>
      <c r="B47" s="8" t="inlineStr">
        <is>
          <t>Warm resume after 30 s in background (on Watchlist tab &gt; Bench 20)</t>
        </is>
      </c>
      <c r="C47" s="8" t="inlineStr">
        <is>
          <t>ms</t>
        </is>
      </c>
      <c r="D47" s="8" t="inlineStr">
        <is>
          <t>RISE</t>
        </is>
      </c>
      <c r="E47" s="8" t="inlineStr">
        <is>
          <t>OPPO CPH3009</t>
        </is>
      </c>
      <c r="F47" s="41">
        <f>A47&amp;"|"&amp;D47&amp;"|"&amp;E47</f>
        <v/>
      </c>
      <c r="G47" s="63" t="n"/>
      <c r="H47" s="63" t="n"/>
      <c r="I47" s="63" t="n"/>
      <c r="J47" s="63" t="n"/>
      <c r="K47" s="63" t="n"/>
      <c r="L47" s="64">
        <f>IF(COUNT(G47:K47)=0,"",MEDIAN(G47:K47))</f>
        <v/>
      </c>
      <c r="M47" s="65">
        <f>IF(COUNT(G47:K47)=0,"",MIN(G47:K47))</f>
        <v/>
      </c>
      <c r="N47" s="65">
        <f>IF(COUNT(G47:K47)=0,"",MAX(G47:K47))</f>
        <v/>
      </c>
      <c r="O47" s="45">
        <f>IF(COUNT(G47:K47)&lt;2,"",IF(L47=0,"",(N47-M47)/L47))</f>
        <v/>
      </c>
      <c r="P47" s="5" t="n"/>
    </row>
    <row r="48">
      <c r="A48" s="6" t="inlineStr">
        <is>
          <t>L7</t>
        </is>
      </c>
      <c r="B48" s="6" t="inlineStr">
        <is>
          <t>Warm resume after 30 s in background (on Watchlist tab &gt; Bench 20)</t>
        </is>
      </c>
      <c r="C48" s="6" t="inlineStr">
        <is>
          <t>ms</t>
        </is>
      </c>
      <c r="D48" s="6" t="inlineStr">
        <is>
          <t>Kite</t>
        </is>
      </c>
      <c r="E48" s="6" t="inlineStr">
        <is>
          <t>OPPO CPH3009</t>
        </is>
      </c>
      <c r="F48" s="41">
        <f>A48&amp;"|"&amp;D48&amp;"|"&amp;E48</f>
        <v/>
      </c>
      <c r="G48" s="63" t="n"/>
      <c r="H48" s="63" t="n"/>
      <c r="I48" s="63" t="n"/>
      <c r="J48" s="63" t="n"/>
      <c r="K48" s="63" t="n"/>
      <c r="L48" s="64">
        <f>IF(COUNT(G48:K48)=0,"",MEDIAN(G48:K48))</f>
        <v/>
      </c>
      <c r="M48" s="65">
        <f>IF(COUNT(G48:K48)=0,"",MIN(G48:K48))</f>
        <v/>
      </c>
      <c r="N48" s="65">
        <f>IF(COUNT(G48:K48)=0,"",MAX(G48:K48))</f>
        <v/>
      </c>
      <c r="O48" s="45">
        <f>IF(COUNT(G48:K48)&lt;2,"",IF(L48=0,"",(N48-M48)/L48))</f>
        <v/>
      </c>
      <c r="P48" s="5" t="n"/>
    </row>
    <row r="49">
      <c r="A49" s="6" t="inlineStr">
        <is>
          <t>L7</t>
        </is>
      </c>
      <c r="B49" s="6" t="inlineStr">
        <is>
          <t>Warm resume after 30 s in background (on Watchlist tab &gt; Bench 20)</t>
        </is>
      </c>
      <c r="C49" s="6" t="inlineStr">
        <is>
          <t>ms</t>
        </is>
      </c>
      <c r="D49" s="6" t="inlineStr">
        <is>
          <t>Groww</t>
        </is>
      </c>
      <c r="E49" s="6" t="inlineStr">
        <is>
          <t>OPPO CPH3009</t>
        </is>
      </c>
      <c r="F49" s="41">
        <f>A49&amp;"|"&amp;D49&amp;"|"&amp;E49</f>
        <v/>
      </c>
      <c r="G49" s="63" t="n"/>
      <c r="H49" s="63" t="n"/>
      <c r="I49" s="63" t="n"/>
      <c r="J49" s="63" t="n"/>
      <c r="K49" s="63" t="n"/>
      <c r="L49" s="64">
        <f>IF(COUNT(G49:K49)=0,"",MEDIAN(G49:K49))</f>
        <v/>
      </c>
      <c r="M49" s="65">
        <f>IF(COUNT(G49:K49)=0,"",MIN(G49:K49))</f>
        <v/>
      </c>
      <c r="N49" s="65">
        <f>IF(COUNT(G49:K49)=0,"",MAX(G49:K49))</f>
        <v/>
      </c>
      <c r="O49" s="45">
        <f>IF(COUNT(G49:K49)&lt;2,"",IF(L49=0,"",(N49-M49)/L49))</f>
        <v/>
      </c>
      <c r="P49" s="5" t="n"/>
    </row>
    <row r="50">
      <c r="A50" s="6" t="inlineStr">
        <is>
          <t>L7</t>
        </is>
      </c>
      <c r="B50" s="6" t="inlineStr">
        <is>
          <t>Warm resume after 30 s in background (on Watchlist tab &gt; Bench 20)</t>
        </is>
      </c>
      <c r="C50" s="6" t="inlineStr">
        <is>
          <t>ms</t>
        </is>
      </c>
      <c r="D50" s="6" t="inlineStr">
        <is>
          <t>Angel One</t>
        </is>
      </c>
      <c r="E50" s="6" t="inlineStr">
        <is>
          <t>OPPO CPH3009</t>
        </is>
      </c>
      <c r="F50" s="41">
        <f>A50&amp;"|"&amp;D50&amp;"|"&amp;E50</f>
        <v/>
      </c>
      <c r="G50" s="63" t="n"/>
      <c r="H50" s="63" t="n"/>
      <c r="I50" s="63" t="n"/>
      <c r="J50" s="63" t="n"/>
      <c r="K50" s="63" t="n"/>
      <c r="L50" s="64">
        <f>IF(COUNT(G50:K50)=0,"",MEDIAN(G50:K50))</f>
        <v/>
      </c>
      <c r="M50" s="65">
        <f>IF(COUNT(G50:K50)=0,"",MIN(G50:K50))</f>
        <v/>
      </c>
      <c r="N50" s="65">
        <f>IF(COUNT(G50:K50)=0,"",MAX(G50:K50))</f>
        <v/>
      </c>
      <c r="O50" s="45">
        <f>IF(COUNT(G50:K50)&lt;2,"",IF(L50=0,"",(N50-M50)/L50))</f>
        <v/>
      </c>
      <c r="P50" s="5" t="n"/>
    </row>
    <row r="51">
      <c r="A51" s="6" t="inlineStr">
        <is>
          <t>L7</t>
        </is>
      </c>
      <c r="B51" s="6" t="inlineStr">
        <is>
          <t>Warm resume after 30 s in background (on Watchlist tab &gt; Bench 20)</t>
        </is>
      </c>
      <c r="C51" s="6" t="inlineStr">
        <is>
          <t>ms</t>
        </is>
      </c>
      <c r="D51" s="6" t="inlineStr">
        <is>
          <t>INDmoney</t>
        </is>
      </c>
      <c r="E51" s="6" t="inlineStr">
        <is>
          <t>OPPO CPH3009</t>
        </is>
      </c>
      <c r="F51" s="41">
        <f>A51&amp;"|"&amp;D51&amp;"|"&amp;E51</f>
        <v/>
      </c>
      <c r="G51" s="63" t="n"/>
      <c r="H51" s="63" t="n"/>
      <c r="I51" s="63" t="n"/>
      <c r="J51" s="63" t="n"/>
      <c r="K51" s="63" t="n"/>
      <c r="L51" s="64">
        <f>IF(COUNT(G51:K51)=0,"",MEDIAN(G51:K51))</f>
        <v/>
      </c>
      <c r="M51" s="65">
        <f>IF(COUNT(G51:K51)=0,"",MIN(G51:K51))</f>
        <v/>
      </c>
      <c r="N51" s="65">
        <f>IF(COUNT(G51:K51)=0,"",MAX(G51:K51))</f>
        <v/>
      </c>
      <c r="O51" s="45">
        <f>IF(COUNT(G51:K51)&lt;2,"",IF(L51=0,"",(N51-M51)/L51))</f>
        <v/>
      </c>
      <c r="P51" s="5" t="n"/>
    </row>
    <row r="52">
      <c r="A52" s="6" t="inlineStr">
        <is>
          <t>L7</t>
        </is>
      </c>
      <c r="B52" s="6" t="inlineStr">
        <is>
          <t>Warm resume after 30 s in background (on Watchlist tab &gt; Bench 20)</t>
        </is>
      </c>
      <c r="C52" s="6" t="inlineStr">
        <is>
          <t>ms</t>
        </is>
      </c>
      <c r="D52" s="6" t="inlineStr">
        <is>
          <t>Kotak Neo</t>
        </is>
      </c>
      <c r="E52" s="6" t="inlineStr">
        <is>
          <t>OPPO CPH3009</t>
        </is>
      </c>
      <c r="F52" s="41">
        <f>A52&amp;"|"&amp;D52&amp;"|"&amp;E52</f>
        <v/>
      </c>
      <c r="G52" s="63" t="n"/>
      <c r="H52" s="63" t="n"/>
      <c r="I52" s="63" t="n"/>
      <c r="J52" s="63" t="n"/>
      <c r="K52" s="63" t="n"/>
      <c r="L52" s="64">
        <f>IF(COUNT(G52:K52)=0,"",MEDIAN(G52:K52))</f>
        <v/>
      </c>
      <c r="M52" s="65">
        <f>IF(COUNT(G52:K52)=0,"",MIN(G52:K52))</f>
        <v/>
      </c>
      <c r="N52" s="65">
        <f>IF(COUNT(G52:K52)=0,"",MAX(G52:K52))</f>
        <v/>
      </c>
      <c r="O52" s="45">
        <f>IF(COUNT(G52:K52)&lt;2,"",IF(L52=0,"",(N52-M52)/L52))</f>
        <v/>
      </c>
      <c r="P52" s="5" t="n"/>
    </row>
    <row r="53">
      <c r="A53" s="6" t="inlineStr">
        <is>
          <t>L7</t>
        </is>
      </c>
      <c r="B53" s="6" t="inlineStr">
        <is>
          <t>Warm resume after 30 s in background (on Watchlist tab &gt; Bench 20)</t>
        </is>
      </c>
      <c r="C53" s="6" t="inlineStr">
        <is>
          <t>ms</t>
        </is>
      </c>
      <c r="D53" s="6" t="inlineStr">
        <is>
          <t>SAHI</t>
        </is>
      </c>
      <c r="E53" s="6" t="inlineStr">
        <is>
          <t>OPPO CPH3009</t>
        </is>
      </c>
      <c r="F53" s="41">
        <f>A53&amp;"|"&amp;D53&amp;"|"&amp;E53</f>
        <v/>
      </c>
      <c r="G53" s="63" t="n"/>
      <c r="H53" s="63" t="n"/>
      <c r="I53" s="63" t="n"/>
      <c r="J53" s="63" t="n"/>
      <c r="K53" s="63" t="n"/>
      <c r="L53" s="64">
        <f>IF(COUNT(G53:K53)=0,"",MEDIAN(G53:K53))</f>
        <v/>
      </c>
      <c r="M53" s="65">
        <f>IF(COUNT(G53:K53)=0,"",MIN(G53:K53))</f>
        <v/>
      </c>
      <c r="N53" s="65">
        <f>IF(COUNT(G53:K53)=0,"",MAX(G53:K53))</f>
        <v/>
      </c>
      <c r="O53" s="45">
        <f>IF(COUNT(G53:K53)&lt;2,"",IF(L53=0,"",(N53-M53)/L53))</f>
        <v/>
      </c>
      <c r="P53" s="5" t="n"/>
    </row>
    <row r="54">
      <c r="A54" s="8" t="inlineStr">
        <is>
          <t>L8</t>
        </is>
      </c>
      <c r="B54" s="8" t="inlineStr">
        <is>
          <t>Resume after 5 min in background (on Watchlist tab &gt; Bench 20)</t>
        </is>
      </c>
      <c r="C54" s="8" t="inlineStr">
        <is>
          <t>ms</t>
        </is>
      </c>
      <c r="D54" s="8" t="inlineStr">
        <is>
          <t>RISE</t>
        </is>
      </c>
      <c r="E54" s="8" t="inlineStr">
        <is>
          <t>OPPO CPH3009</t>
        </is>
      </c>
      <c r="F54" s="41">
        <f>A54&amp;"|"&amp;D54&amp;"|"&amp;E54</f>
        <v/>
      </c>
      <c r="G54" s="63" t="n"/>
      <c r="H54" s="63" t="n"/>
      <c r="I54" s="63" t="n"/>
      <c r="J54" s="63" t="n"/>
      <c r="K54" s="63" t="n"/>
      <c r="L54" s="64">
        <f>IF(COUNT(G54:K54)=0,"",MEDIAN(G54:K54))</f>
        <v/>
      </c>
      <c r="M54" s="65">
        <f>IF(COUNT(G54:K54)=0,"",MIN(G54:K54))</f>
        <v/>
      </c>
      <c r="N54" s="65">
        <f>IF(COUNT(G54:K54)=0,"",MAX(G54:K54))</f>
        <v/>
      </c>
      <c r="O54" s="45">
        <f>IF(COUNT(G54:K54)&lt;2,"",IF(L54=0,"",(N54-M54)/L54))</f>
        <v/>
      </c>
      <c r="P54" s="5" t="n"/>
    </row>
    <row r="55">
      <c r="A55" s="46" t="inlineStr">
        <is>
          <t>L8</t>
        </is>
      </c>
      <c r="B55" s="46" t="inlineStr">
        <is>
          <t>Resume after 5 min in background (on Watchlist tab &gt; Bench 20)</t>
        </is>
      </c>
      <c r="C55" s="46" t="inlineStr">
        <is>
          <t>ms</t>
        </is>
      </c>
      <c r="D55" s="46" t="inlineStr">
        <is>
          <t>Kite</t>
        </is>
      </c>
      <c r="E55" s="46" t="inlineStr">
        <is>
          <t>OPPO CPH3009</t>
        </is>
      </c>
      <c r="F55" s="41">
        <f>A55&amp;"|"&amp;D55&amp;"|"&amp;E55</f>
        <v/>
      </c>
      <c r="G55" s="63" t="n"/>
      <c r="H55" s="63" t="n"/>
      <c r="I55" s="63" t="n"/>
      <c r="J55" s="63" t="n"/>
      <c r="K55" s="63" t="n"/>
      <c r="L55" s="64">
        <f>IF(COUNT(G55:K55)=0,"",MEDIAN(G55:K55))</f>
        <v/>
      </c>
      <c r="M55" s="65">
        <f>IF(COUNT(G55:K55)=0,"",MIN(G55:K55))</f>
        <v/>
      </c>
      <c r="N55" s="65">
        <f>IF(COUNT(G55:K55)=0,"",MAX(G55:K55))</f>
        <v/>
      </c>
      <c r="O55" s="45">
        <f>IF(COUNT(G55:K55)&lt;2,"",IF(L55=0,"",(N55-M55)/L55))</f>
        <v/>
      </c>
      <c r="P55" s="5" t="n"/>
    </row>
    <row r="56">
      <c r="A56" s="46" t="inlineStr">
        <is>
          <t>L8</t>
        </is>
      </c>
      <c r="B56" s="46" t="inlineStr">
        <is>
          <t>Resume after 5 min in background (on Watchlist tab &gt; Bench 20)</t>
        </is>
      </c>
      <c r="C56" s="46" t="inlineStr">
        <is>
          <t>ms</t>
        </is>
      </c>
      <c r="D56" s="46" t="inlineStr">
        <is>
          <t>Groww</t>
        </is>
      </c>
      <c r="E56" s="46" t="inlineStr">
        <is>
          <t>OPPO CPH3009</t>
        </is>
      </c>
      <c r="F56" s="41">
        <f>A56&amp;"|"&amp;D56&amp;"|"&amp;E56</f>
        <v/>
      </c>
      <c r="G56" s="63" t="n"/>
      <c r="H56" s="63" t="n"/>
      <c r="I56" s="63" t="n"/>
      <c r="J56" s="63" t="n"/>
      <c r="K56" s="63" t="n"/>
      <c r="L56" s="64">
        <f>IF(COUNT(G56:K56)=0,"",MEDIAN(G56:K56))</f>
        <v/>
      </c>
      <c r="M56" s="65">
        <f>IF(COUNT(G56:K56)=0,"",MIN(G56:K56))</f>
        <v/>
      </c>
      <c r="N56" s="65">
        <f>IF(COUNT(G56:K56)=0,"",MAX(G56:K56))</f>
        <v/>
      </c>
      <c r="O56" s="45">
        <f>IF(COUNT(G56:K56)&lt;2,"",IF(L56=0,"",(N56-M56)/L56))</f>
        <v/>
      </c>
      <c r="P56" s="5" t="n"/>
    </row>
    <row r="57">
      <c r="A57" s="46" t="inlineStr">
        <is>
          <t>L8</t>
        </is>
      </c>
      <c r="B57" s="46" t="inlineStr">
        <is>
          <t>Resume after 5 min in background (on Watchlist tab &gt; Bench 20)</t>
        </is>
      </c>
      <c r="C57" s="46" t="inlineStr">
        <is>
          <t>ms</t>
        </is>
      </c>
      <c r="D57" s="46" t="inlineStr">
        <is>
          <t>Angel One</t>
        </is>
      </c>
      <c r="E57" s="46" t="inlineStr">
        <is>
          <t>OPPO CPH3009</t>
        </is>
      </c>
      <c r="F57" s="41">
        <f>A57&amp;"|"&amp;D57&amp;"|"&amp;E57</f>
        <v/>
      </c>
      <c r="G57" s="63" t="n"/>
      <c r="H57" s="63" t="n"/>
      <c r="I57" s="63" t="n"/>
      <c r="J57" s="63" t="n"/>
      <c r="K57" s="63" t="n"/>
      <c r="L57" s="64">
        <f>IF(COUNT(G57:K57)=0,"",MEDIAN(G57:K57))</f>
        <v/>
      </c>
      <c r="M57" s="65">
        <f>IF(COUNT(G57:K57)=0,"",MIN(G57:K57))</f>
        <v/>
      </c>
      <c r="N57" s="65">
        <f>IF(COUNT(G57:K57)=0,"",MAX(G57:K57))</f>
        <v/>
      </c>
      <c r="O57" s="45">
        <f>IF(COUNT(G57:K57)&lt;2,"",IF(L57=0,"",(N57-M57)/L57))</f>
        <v/>
      </c>
      <c r="P57" s="5" t="n"/>
    </row>
    <row r="58">
      <c r="A58" s="46" t="inlineStr">
        <is>
          <t>L8</t>
        </is>
      </c>
      <c r="B58" s="46" t="inlineStr">
        <is>
          <t>Resume after 5 min in background (on Watchlist tab &gt; Bench 20)</t>
        </is>
      </c>
      <c r="C58" s="46" t="inlineStr">
        <is>
          <t>ms</t>
        </is>
      </c>
      <c r="D58" s="46" t="inlineStr">
        <is>
          <t>INDmoney</t>
        </is>
      </c>
      <c r="E58" s="46" t="inlineStr">
        <is>
          <t>OPPO CPH3009</t>
        </is>
      </c>
      <c r="F58" s="41">
        <f>A58&amp;"|"&amp;D58&amp;"|"&amp;E58</f>
        <v/>
      </c>
      <c r="G58" s="63" t="n"/>
      <c r="H58" s="63" t="n"/>
      <c r="I58" s="63" t="n"/>
      <c r="J58" s="63" t="n"/>
      <c r="K58" s="63" t="n"/>
      <c r="L58" s="64">
        <f>IF(COUNT(G58:K58)=0,"",MEDIAN(G58:K58))</f>
        <v/>
      </c>
      <c r="M58" s="65">
        <f>IF(COUNT(G58:K58)=0,"",MIN(G58:K58))</f>
        <v/>
      </c>
      <c r="N58" s="65">
        <f>IF(COUNT(G58:K58)=0,"",MAX(G58:K58))</f>
        <v/>
      </c>
      <c r="O58" s="45">
        <f>IF(COUNT(G58:K58)&lt;2,"",IF(L58=0,"",(N58-M58)/L58))</f>
        <v/>
      </c>
      <c r="P58" s="5" t="n"/>
    </row>
    <row r="59">
      <c r="A59" s="46" t="inlineStr">
        <is>
          <t>L8</t>
        </is>
      </c>
      <c r="B59" s="46" t="inlineStr">
        <is>
          <t>Resume after 5 min in background (on Watchlist tab &gt; Bench 20)</t>
        </is>
      </c>
      <c r="C59" s="46" t="inlineStr">
        <is>
          <t>ms</t>
        </is>
      </c>
      <c r="D59" s="46" t="inlineStr">
        <is>
          <t>Kotak Neo</t>
        </is>
      </c>
      <c r="E59" s="46" t="inlineStr">
        <is>
          <t>OPPO CPH3009</t>
        </is>
      </c>
      <c r="F59" s="41">
        <f>A59&amp;"|"&amp;D59&amp;"|"&amp;E59</f>
        <v/>
      </c>
      <c r="G59" s="63" t="n"/>
      <c r="H59" s="63" t="n"/>
      <c r="I59" s="63" t="n"/>
      <c r="J59" s="63" t="n"/>
      <c r="K59" s="63" t="n"/>
      <c r="L59" s="64">
        <f>IF(COUNT(G59:K59)=0,"",MEDIAN(G59:K59))</f>
        <v/>
      </c>
      <c r="M59" s="65">
        <f>IF(COUNT(G59:K59)=0,"",MIN(G59:K59))</f>
        <v/>
      </c>
      <c r="N59" s="65">
        <f>IF(COUNT(G59:K59)=0,"",MAX(G59:K59))</f>
        <v/>
      </c>
      <c r="O59" s="45">
        <f>IF(COUNT(G59:K59)&lt;2,"",IF(L59=0,"",(N59-M59)/L59))</f>
        <v/>
      </c>
      <c r="P59" s="5" t="n"/>
    </row>
    <row r="60">
      <c r="A60" s="46" t="inlineStr">
        <is>
          <t>L8</t>
        </is>
      </c>
      <c r="B60" s="46" t="inlineStr">
        <is>
          <t>Resume after 5 min in background (on Watchlist tab &gt; Bench 20)</t>
        </is>
      </c>
      <c r="C60" s="46" t="inlineStr">
        <is>
          <t>ms</t>
        </is>
      </c>
      <c r="D60" s="46" t="inlineStr">
        <is>
          <t>SAHI</t>
        </is>
      </c>
      <c r="E60" s="46" t="inlineStr">
        <is>
          <t>OPPO CPH3009</t>
        </is>
      </c>
      <c r="F60" s="41">
        <f>A60&amp;"|"&amp;D60&amp;"|"&amp;E60</f>
        <v/>
      </c>
      <c r="G60" s="63" t="n"/>
      <c r="H60" s="63" t="n"/>
      <c r="I60" s="63" t="n"/>
      <c r="J60" s="63" t="n"/>
      <c r="K60" s="63" t="n"/>
      <c r="L60" s="64">
        <f>IF(COUNT(G60:K60)=0,"",MEDIAN(G60:K60))</f>
        <v/>
      </c>
      <c r="M60" s="65">
        <f>IF(COUNT(G60:K60)=0,"",MIN(G60:K60))</f>
        <v/>
      </c>
      <c r="N60" s="65">
        <f>IF(COUNT(G60:K60)=0,"",MAX(G60:K60))</f>
        <v/>
      </c>
      <c r="O60" s="45">
        <f>IF(COUNT(G60:K60)&lt;2,"",IF(L60=0,"",(N60-M60)/L60))</f>
        <v/>
      </c>
      <c r="P60" s="5" t="n"/>
    </row>
    <row r="61">
      <c r="A61" s="8" t="inlineStr">
        <is>
          <t>L9</t>
        </is>
      </c>
      <c r="B61" s="8" t="inlineStr">
        <is>
          <t>Watchlist tab &gt; Bench 20 load – Small account</t>
        </is>
      </c>
      <c r="C61" s="8" t="inlineStr">
        <is>
          <t>ms</t>
        </is>
      </c>
      <c r="D61" s="8" t="inlineStr">
        <is>
          <t>RISE</t>
        </is>
      </c>
      <c r="E61" s="8" t="inlineStr">
        <is>
          <t>OPPO CPH3009</t>
        </is>
      </c>
      <c r="F61" s="41">
        <f>A61&amp;"|"&amp;D61&amp;"|"&amp;E61</f>
        <v/>
      </c>
      <c r="G61" s="63" t="n"/>
      <c r="H61" s="63" t="n"/>
      <c r="I61" s="63" t="n"/>
      <c r="J61" s="63" t="n"/>
      <c r="K61" s="63" t="n"/>
      <c r="L61" s="64">
        <f>IF(COUNT(G61:K61)=0,"",MEDIAN(G61:K61))</f>
        <v/>
      </c>
      <c r="M61" s="65">
        <f>IF(COUNT(G61:K61)=0,"",MIN(G61:K61))</f>
        <v/>
      </c>
      <c r="N61" s="65">
        <f>IF(COUNT(G61:K61)=0,"",MAX(G61:K61))</f>
        <v/>
      </c>
      <c r="O61" s="45">
        <f>IF(COUNT(G61:K61)&lt;2,"",IF(L61=0,"",(N61-M61)/L61))</f>
        <v/>
      </c>
      <c r="P61" s="5" t="n"/>
    </row>
    <row r="62">
      <c r="A62" s="6" t="inlineStr">
        <is>
          <t>L9</t>
        </is>
      </c>
      <c r="B62" s="6" t="inlineStr">
        <is>
          <t>Watchlist tab &gt; Bench 20 load – Small account</t>
        </is>
      </c>
      <c r="C62" s="6" t="inlineStr">
        <is>
          <t>ms</t>
        </is>
      </c>
      <c r="D62" s="6" t="inlineStr">
        <is>
          <t>Kite</t>
        </is>
      </c>
      <c r="E62" s="6" t="inlineStr">
        <is>
          <t>OPPO CPH3009</t>
        </is>
      </c>
      <c r="F62" s="41">
        <f>A62&amp;"|"&amp;D62&amp;"|"&amp;E62</f>
        <v/>
      </c>
      <c r="G62" s="63" t="n"/>
      <c r="H62" s="63" t="n"/>
      <c r="I62" s="63" t="n"/>
      <c r="J62" s="63" t="n"/>
      <c r="K62" s="63" t="n"/>
      <c r="L62" s="64">
        <f>IF(COUNT(G62:K62)=0,"",MEDIAN(G62:K62))</f>
        <v/>
      </c>
      <c r="M62" s="65">
        <f>IF(COUNT(G62:K62)=0,"",MIN(G62:K62))</f>
        <v/>
      </c>
      <c r="N62" s="65">
        <f>IF(COUNT(G62:K62)=0,"",MAX(G62:K62))</f>
        <v/>
      </c>
      <c r="O62" s="45">
        <f>IF(COUNT(G62:K62)&lt;2,"",IF(L62=0,"",(N62-M62)/L62))</f>
        <v/>
      </c>
      <c r="P62" s="5" t="n"/>
    </row>
    <row r="63">
      <c r="A63" s="6" t="inlineStr">
        <is>
          <t>L9</t>
        </is>
      </c>
      <c r="B63" s="6" t="inlineStr">
        <is>
          <t>Watchlist tab &gt; Bench 20 load – Small account</t>
        </is>
      </c>
      <c r="C63" s="6" t="inlineStr">
        <is>
          <t>ms</t>
        </is>
      </c>
      <c r="D63" s="6" t="inlineStr">
        <is>
          <t>Groww</t>
        </is>
      </c>
      <c r="E63" s="6" t="inlineStr">
        <is>
          <t>OPPO CPH3009</t>
        </is>
      </c>
      <c r="F63" s="41">
        <f>A63&amp;"|"&amp;D63&amp;"|"&amp;E63</f>
        <v/>
      </c>
      <c r="G63" s="63" t="n"/>
      <c r="H63" s="63" t="n"/>
      <c r="I63" s="63" t="n"/>
      <c r="J63" s="63" t="n"/>
      <c r="K63" s="63" t="n"/>
      <c r="L63" s="64">
        <f>IF(COUNT(G63:K63)=0,"",MEDIAN(G63:K63))</f>
        <v/>
      </c>
      <c r="M63" s="65">
        <f>IF(COUNT(G63:K63)=0,"",MIN(G63:K63))</f>
        <v/>
      </c>
      <c r="N63" s="65">
        <f>IF(COUNT(G63:K63)=0,"",MAX(G63:K63))</f>
        <v/>
      </c>
      <c r="O63" s="45">
        <f>IF(COUNT(G63:K63)&lt;2,"",IF(L63=0,"",(N63-M63)/L63))</f>
        <v/>
      </c>
      <c r="P63" s="5" t="n"/>
    </row>
    <row r="64">
      <c r="A64" s="6" t="inlineStr">
        <is>
          <t>L9</t>
        </is>
      </c>
      <c r="B64" s="6" t="inlineStr">
        <is>
          <t>Watchlist tab &gt; Bench 20 load – Small account</t>
        </is>
      </c>
      <c r="C64" s="6" t="inlineStr">
        <is>
          <t>ms</t>
        </is>
      </c>
      <c r="D64" s="6" t="inlineStr">
        <is>
          <t>Angel One</t>
        </is>
      </c>
      <c r="E64" s="6" t="inlineStr">
        <is>
          <t>OPPO CPH3009</t>
        </is>
      </c>
      <c r="F64" s="41">
        <f>A64&amp;"|"&amp;D64&amp;"|"&amp;E64</f>
        <v/>
      </c>
      <c r="G64" s="63" t="n"/>
      <c r="H64" s="63" t="n"/>
      <c r="I64" s="63" t="n"/>
      <c r="J64" s="63" t="n"/>
      <c r="K64" s="63" t="n"/>
      <c r="L64" s="64">
        <f>IF(COUNT(G64:K64)=0,"",MEDIAN(G64:K64))</f>
        <v/>
      </c>
      <c r="M64" s="65">
        <f>IF(COUNT(G64:K64)=0,"",MIN(G64:K64))</f>
        <v/>
      </c>
      <c r="N64" s="65">
        <f>IF(COUNT(G64:K64)=0,"",MAX(G64:K64))</f>
        <v/>
      </c>
      <c r="O64" s="45">
        <f>IF(COUNT(G64:K64)&lt;2,"",IF(L64=0,"",(N64-M64)/L64))</f>
        <v/>
      </c>
      <c r="P64" s="5" t="n"/>
    </row>
    <row r="65">
      <c r="A65" s="6" t="inlineStr">
        <is>
          <t>L9</t>
        </is>
      </c>
      <c r="B65" s="6" t="inlineStr">
        <is>
          <t>Watchlist tab &gt; Bench 20 load – Small account</t>
        </is>
      </c>
      <c r="C65" s="6" t="inlineStr">
        <is>
          <t>ms</t>
        </is>
      </c>
      <c r="D65" s="6" t="inlineStr">
        <is>
          <t>INDmoney</t>
        </is>
      </c>
      <c r="E65" s="6" t="inlineStr">
        <is>
          <t>OPPO CPH3009</t>
        </is>
      </c>
      <c r="F65" s="41">
        <f>A65&amp;"|"&amp;D65&amp;"|"&amp;E65</f>
        <v/>
      </c>
      <c r="G65" s="63" t="n"/>
      <c r="H65" s="63" t="n"/>
      <c r="I65" s="63" t="n"/>
      <c r="J65" s="63" t="n"/>
      <c r="K65" s="63" t="n"/>
      <c r="L65" s="64">
        <f>IF(COUNT(G65:K65)=0,"",MEDIAN(G65:K65))</f>
        <v/>
      </c>
      <c r="M65" s="65">
        <f>IF(COUNT(G65:K65)=0,"",MIN(G65:K65))</f>
        <v/>
      </c>
      <c r="N65" s="65">
        <f>IF(COUNT(G65:K65)=0,"",MAX(G65:K65))</f>
        <v/>
      </c>
      <c r="O65" s="45">
        <f>IF(COUNT(G65:K65)&lt;2,"",IF(L65=0,"",(N65-M65)/L65))</f>
        <v/>
      </c>
      <c r="P65" s="5" t="n"/>
    </row>
    <row r="66">
      <c r="A66" s="6" t="inlineStr">
        <is>
          <t>L9</t>
        </is>
      </c>
      <c r="B66" s="6" t="inlineStr">
        <is>
          <t>Watchlist tab &gt; Bench 20 load – Small account</t>
        </is>
      </c>
      <c r="C66" s="6" t="inlineStr">
        <is>
          <t>ms</t>
        </is>
      </c>
      <c r="D66" s="6" t="inlineStr">
        <is>
          <t>Kotak Neo</t>
        </is>
      </c>
      <c r="E66" s="6" t="inlineStr">
        <is>
          <t>OPPO CPH3009</t>
        </is>
      </c>
      <c r="F66" s="41">
        <f>A66&amp;"|"&amp;D66&amp;"|"&amp;E66</f>
        <v/>
      </c>
      <c r="G66" s="63" t="n"/>
      <c r="H66" s="63" t="n"/>
      <c r="I66" s="63" t="n"/>
      <c r="J66" s="63" t="n"/>
      <c r="K66" s="63" t="n"/>
      <c r="L66" s="64">
        <f>IF(COUNT(G66:K66)=0,"",MEDIAN(G66:K66))</f>
        <v/>
      </c>
      <c r="M66" s="65">
        <f>IF(COUNT(G66:K66)=0,"",MIN(G66:K66))</f>
        <v/>
      </c>
      <c r="N66" s="65">
        <f>IF(COUNT(G66:K66)=0,"",MAX(G66:K66))</f>
        <v/>
      </c>
      <c r="O66" s="45">
        <f>IF(COUNT(G66:K66)&lt;2,"",IF(L66=0,"",(N66-M66)/L66))</f>
        <v/>
      </c>
      <c r="P66" s="5" t="n"/>
    </row>
    <row r="67">
      <c r="A67" s="6" t="inlineStr">
        <is>
          <t>L9</t>
        </is>
      </c>
      <c r="B67" s="6" t="inlineStr">
        <is>
          <t>Watchlist tab &gt; Bench 20 load – Small account</t>
        </is>
      </c>
      <c r="C67" s="6" t="inlineStr">
        <is>
          <t>ms</t>
        </is>
      </c>
      <c r="D67" s="6" t="inlineStr">
        <is>
          <t>SAHI</t>
        </is>
      </c>
      <c r="E67" s="6" t="inlineStr">
        <is>
          <t>OPPO CPH3009</t>
        </is>
      </c>
      <c r="F67" s="41">
        <f>A67&amp;"|"&amp;D67&amp;"|"&amp;E67</f>
        <v/>
      </c>
      <c r="G67" s="63" t="n"/>
      <c r="H67" s="63" t="n"/>
      <c r="I67" s="63" t="n"/>
      <c r="J67" s="63" t="n"/>
      <c r="K67" s="63" t="n"/>
      <c r="L67" s="64">
        <f>IF(COUNT(G67:K67)=0,"",MEDIAN(G67:K67))</f>
        <v/>
      </c>
      <c r="M67" s="65">
        <f>IF(COUNT(G67:K67)=0,"",MIN(G67:K67))</f>
        <v/>
      </c>
      <c r="N67" s="65">
        <f>IF(COUNT(G67:K67)=0,"",MAX(G67:K67))</f>
        <v/>
      </c>
      <c r="O67" s="45">
        <f>IF(COUNT(G67:K67)&lt;2,"",IF(L67=0,"",(N67-M67)/L67))</f>
        <v/>
      </c>
      <c r="P67" s="5" t="n"/>
    </row>
    <row r="68">
      <c r="A68" s="8" t="inlineStr">
        <is>
          <t>L10</t>
        </is>
      </c>
      <c r="B68" s="8" t="inlineStr">
        <is>
          <t>Watchlist tab &gt; Bench 20 load – Large account</t>
        </is>
      </c>
      <c r="C68" s="8" t="inlineStr">
        <is>
          <t>ms</t>
        </is>
      </c>
      <c r="D68" s="8" t="inlineStr">
        <is>
          <t>RISE</t>
        </is>
      </c>
      <c r="E68" s="8" t="inlineStr">
        <is>
          <t>OPPO CPH3009</t>
        </is>
      </c>
      <c r="F68" s="41">
        <f>A68&amp;"|"&amp;D68&amp;"|"&amp;E68</f>
        <v/>
      </c>
      <c r="G68" s="63" t="n"/>
      <c r="H68" s="63" t="n"/>
      <c r="I68" s="63" t="n"/>
      <c r="J68" s="63" t="n"/>
      <c r="K68" s="63" t="n"/>
      <c r="L68" s="64">
        <f>IF(COUNT(G68:K68)=0,"",MEDIAN(G68:K68))</f>
        <v/>
      </c>
      <c r="M68" s="65">
        <f>IF(COUNT(G68:K68)=0,"",MIN(G68:K68))</f>
        <v/>
      </c>
      <c r="N68" s="65">
        <f>IF(COUNT(G68:K68)=0,"",MAX(G68:K68))</f>
        <v/>
      </c>
      <c r="O68" s="45">
        <f>IF(COUNT(G68:K68)&lt;2,"",IF(L68=0,"",(N68-M68)/L68))</f>
        <v/>
      </c>
      <c r="P68" s="5" t="n"/>
    </row>
    <row r="69">
      <c r="A69" s="46" t="inlineStr">
        <is>
          <t>L10</t>
        </is>
      </c>
      <c r="B69" s="46" t="inlineStr">
        <is>
          <t>Watchlist tab &gt; Bench 20 load – Large account</t>
        </is>
      </c>
      <c r="C69" s="46" t="inlineStr">
        <is>
          <t>ms</t>
        </is>
      </c>
      <c r="D69" s="46" t="inlineStr">
        <is>
          <t>Kite</t>
        </is>
      </c>
      <c r="E69" s="46" t="inlineStr">
        <is>
          <t>OPPO CPH3009</t>
        </is>
      </c>
      <c r="F69" s="41">
        <f>A69&amp;"|"&amp;D69&amp;"|"&amp;E69</f>
        <v/>
      </c>
      <c r="G69" s="63" t="n"/>
      <c r="H69" s="63" t="n"/>
      <c r="I69" s="63" t="n"/>
      <c r="J69" s="63" t="n"/>
      <c r="K69" s="63" t="n"/>
      <c r="L69" s="64">
        <f>IF(COUNT(G69:K69)=0,"",MEDIAN(G69:K69))</f>
        <v/>
      </c>
      <c r="M69" s="65">
        <f>IF(COUNT(G69:K69)=0,"",MIN(G69:K69))</f>
        <v/>
      </c>
      <c r="N69" s="65">
        <f>IF(COUNT(G69:K69)=0,"",MAX(G69:K69))</f>
        <v/>
      </c>
      <c r="O69" s="45">
        <f>IF(COUNT(G69:K69)&lt;2,"",IF(L69=0,"",(N69-M69)/L69))</f>
        <v/>
      </c>
      <c r="P69" s="5" t="n"/>
    </row>
    <row r="70">
      <c r="A70" s="46" t="inlineStr">
        <is>
          <t>L10</t>
        </is>
      </c>
      <c r="B70" s="46" t="inlineStr">
        <is>
          <t>Watchlist tab &gt; Bench 20 load – Large account</t>
        </is>
      </c>
      <c r="C70" s="46" t="inlineStr">
        <is>
          <t>ms</t>
        </is>
      </c>
      <c r="D70" s="46" t="inlineStr">
        <is>
          <t>Groww</t>
        </is>
      </c>
      <c r="E70" s="46" t="inlineStr">
        <is>
          <t>OPPO CPH3009</t>
        </is>
      </c>
      <c r="F70" s="41">
        <f>A70&amp;"|"&amp;D70&amp;"|"&amp;E70</f>
        <v/>
      </c>
      <c r="G70" s="63" t="n"/>
      <c r="H70" s="63" t="n"/>
      <c r="I70" s="63" t="n"/>
      <c r="J70" s="63" t="n"/>
      <c r="K70" s="63" t="n"/>
      <c r="L70" s="64">
        <f>IF(COUNT(G70:K70)=0,"",MEDIAN(G70:K70))</f>
        <v/>
      </c>
      <c r="M70" s="65">
        <f>IF(COUNT(G70:K70)=0,"",MIN(G70:K70))</f>
        <v/>
      </c>
      <c r="N70" s="65">
        <f>IF(COUNT(G70:K70)=0,"",MAX(G70:K70))</f>
        <v/>
      </c>
      <c r="O70" s="45">
        <f>IF(COUNT(G70:K70)&lt;2,"",IF(L70=0,"",(N70-M70)/L70))</f>
        <v/>
      </c>
      <c r="P70" s="5" t="n"/>
    </row>
    <row r="71">
      <c r="A71" s="46" t="inlineStr">
        <is>
          <t>L10</t>
        </is>
      </c>
      <c r="B71" s="46" t="inlineStr">
        <is>
          <t>Watchlist tab &gt; Bench 20 load – Large account</t>
        </is>
      </c>
      <c r="C71" s="46" t="inlineStr">
        <is>
          <t>ms</t>
        </is>
      </c>
      <c r="D71" s="46" t="inlineStr">
        <is>
          <t>Angel One</t>
        </is>
      </c>
      <c r="E71" s="46" t="inlineStr">
        <is>
          <t>OPPO CPH3009</t>
        </is>
      </c>
      <c r="F71" s="41">
        <f>A71&amp;"|"&amp;D71&amp;"|"&amp;E71</f>
        <v/>
      </c>
      <c r="G71" s="63" t="n"/>
      <c r="H71" s="63" t="n"/>
      <c r="I71" s="63" t="n"/>
      <c r="J71" s="63" t="n"/>
      <c r="K71" s="63" t="n"/>
      <c r="L71" s="64">
        <f>IF(COUNT(G71:K71)=0,"",MEDIAN(G71:K71))</f>
        <v/>
      </c>
      <c r="M71" s="65">
        <f>IF(COUNT(G71:K71)=0,"",MIN(G71:K71))</f>
        <v/>
      </c>
      <c r="N71" s="65">
        <f>IF(COUNT(G71:K71)=0,"",MAX(G71:K71))</f>
        <v/>
      </c>
      <c r="O71" s="45">
        <f>IF(COUNT(G71:K71)&lt;2,"",IF(L71=0,"",(N71-M71)/L71))</f>
        <v/>
      </c>
      <c r="P71" s="5" t="n"/>
    </row>
    <row r="72">
      <c r="A72" s="46" t="inlineStr">
        <is>
          <t>L10</t>
        </is>
      </c>
      <c r="B72" s="46" t="inlineStr">
        <is>
          <t>Watchlist tab &gt; Bench 20 load – Large account</t>
        </is>
      </c>
      <c r="C72" s="46" t="inlineStr">
        <is>
          <t>ms</t>
        </is>
      </c>
      <c r="D72" s="46" t="inlineStr">
        <is>
          <t>INDmoney</t>
        </is>
      </c>
      <c r="E72" s="46" t="inlineStr">
        <is>
          <t>OPPO CPH3009</t>
        </is>
      </c>
      <c r="F72" s="41">
        <f>A72&amp;"|"&amp;D72&amp;"|"&amp;E72</f>
        <v/>
      </c>
      <c r="G72" s="63" t="n"/>
      <c r="H72" s="63" t="n"/>
      <c r="I72" s="63" t="n"/>
      <c r="J72" s="63" t="n"/>
      <c r="K72" s="63" t="n"/>
      <c r="L72" s="64">
        <f>IF(COUNT(G72:K72)=0,"",MEDIAN(G72:K72))</f>
        <v/>
      </c>
      <c r="M72" s="65">
        <f>IF(COUNT(G72:K72)=0,"",MIN(G72:K72))</f>
        <v/>
      </c>
      <c r="N72" s="65">
        <f>IF(COUNT(G72:K72)=0,"",MAX(G72:K72))</f>
        <v/>
      </c>
      <c r="O72" s="45">
        <f>IF(COUNT(G72:K72)&lt;2,"",IF(L72=0,"",(N72-M72)/L72))</f>
        <v/>
      </c>
      <c r="P72" s="5" t="n"/>
    </row>
    <row r="73">
      <c r="A73" s="46" t="inlineStr">
        <is>
          <t>L10</t>
        </is>
      </c>
      <c r="B73" s="46" t="inlineStr">
        <is>
          <t>Watchlist tab &gt; Bench 20 load – Large account</t>
        </is>
      </c>
      <c r="C73" s="46" t="inlineStr">
        <is>
          <t>ms</t>
        </is>
      </c>
      <c r="D73" s="46" t="inlineStr">
        <is>
          <t>Kotak Neo</t>
        </is>
      </c>
      <c r="E73" s="46" t="inlineStr">
        <is>
          <t>OPPO CPH3009</t>
        </is>
      </c>
      <c r="F73" s="41">
        <f>A73&amp;"|"&amp;D73&amp;"|"&amp;E73</f>
        <v/>
      </c>
      <c r="G73" s="63" t="n"/>
      <c r="H73" s="63" t="n"/>
      <c r="I73" s="63" t="n"/>
      <c r="J73" s="63" t="n"/>
      <c r="K73" s="63" t="n"/>
      <c r="L73" s="64">
        <f>IF(COUNT(G73:K73)=0,"",MEDIAN(G73:K73))</f>
        <v/>
      </c>
      <c r="M73" s="65">
        <f>IF(COUNT(G73:K73)=0,"",MIN(G73:K73))</f>
        <v/>
      </c>
      <c r="N73" s="65">
        <f>IF(COUNT(G73:K73)=0,"",MAX(G73:K73))</f>
        <v/>
      </c>
      <c r="O73" s="45">
        <f>IF(COUNT(G73:K73)&lt;2,"",IF(L73=0,"",(N73-M73)/L73))</f>
        <v/>
      </c>
      <c r="P73" s="5" t="n"/>
    </row>
    <row r="74">
      <c r="A74" s="46" t="inlineStr">
        <is>
          <t>L10</t>
        </is>
      </c>
      <c r="B74" s="46" t="inlineStr">
        <is>
          <t>Watchlist tab &gt; Bench 20 load – Large account</t>
        </is>
      </c>
      <c r="C74" s="46" t="inlineStr">
        <is>
          <t>ms</t>
        </is>
      </c>
      <c r="D74" s="46" t="inlineStr">
        <is>
          <t>SAHI</t>
        </is>
      </c>
      <c r="E74" s="46" t="inlineStr">
        <is>
          <t>OPPO CPH3009</t>
        </is>
      </c>
      <c r="F74" s="41">
        <f>A74&amp;"|"&amp;D74&amp;"|"&amp;E74</f>
        <v/>
      </c>
      <c r="G74" s="63" t="n"/>
      <c r="H74" s="63" t="n"/>
      <c r="I74" s="63" t="n"/>
      <c r="J74" s="63" t="n"/>
      <c r="K74" s="63" t="n"/>
      <c r="L74" s="64">
        <f>IF(COUNT(G74:K74)=0,"",MEDIAN(G74:K74))</f>
        <v/>
      </c>
      <c r="M74" s="65">
        <f>IF(COUNT(G74:K74)=0,"",MIN(G74:K74))</f>
        <v/>
      </c>
      <c r="N74" s="65">
        <f>IF(COUNT(G74:K74)=0,"",MAX(G74:K74))</f>
        <v/>
      </c>
      <c r="O74" s="45">
        <f>IF(COUNT(G74:K74)&lt;2,"",IF(L74=0,"",(N74-M74)/L74))</f>
        <v/>
      </c>
      <c r="P74" s="5" t="n"/>
    </row>
    <row r="75">
      <c r="A75" s="8" t="inlineStr">
        <is>
          <t>L11</t>
        </is>
      </c>
      <c r="B75" s="8" t="inlineStr">
        <is>
          <t>Network connections during Watchlist tab &gt; Bench 20 load</t>
        </is>
      </c>
      <c r="C75" s="8" t="inlineStr">
        <is>
          <t>count</t>
        </is>
      </c>
      <c r="D75" s="8" t="inlineStr">
        <is>
          <t>RISE</t>
        </is>
      </c>
      <c r="E75" s="8" t="inlineStr">
        <is>
          <t>OPPO CPH3009</t>
        </is>
      </c>
      <c r="F75" s="41">
        <f>A75&amp;"|"&amp;D75&amp;"|"&amp;E75</f>
        <v/>
      </c>
      <c r="G75" s="63" t="n"/>
      <c r="H75" s="63" t="n"/>
      <c r="I75" s="63" t="n"/>
      <c r="J75" s="63" t="n"/>
      <c r="K75" s="63" t="n"/>
      <c r="L75" s="64">
        <f>IF(COUNT(G75:K75)=0,"",MEDIAN(G75:K75))</f>
        <v/>
      </c>
      <c r="M75" s="65">
        <f>IF(COUNT(G75:K75)=0,"",MIN(G75:K75))</f>
        <v/>
      </c>
      <c r="N75" s="65">
        <f>IF(COUNT(G75:K75)=0,"",MAX(G75:K75))</f>
        <v/>
      </c>
      <c r="O75" s="45">
        <f>IF(COUNT(G75:K75)&lt;2,"",IF(L75=0,"",(N75-M75)/L75))</f>
        <v/>
      </c>
      <c r="P75" s="5" t="n"/>
    </row>
    <row r="76">
      <c r="A76" s="6" t="inlineStr">
        <is>
          <t>L11</t>
        </is>
      </c>
      <c r="B76" s="6" t="inlineStr">
        <is>
          <t>Network connections during Watchlist tab &gt; Bench 20 load</t>
        </is>
      </c>
      <c r="C76" s="6" t="inlineStr">
        <is>
          <t>count</t>
        </is>
      </c>
      <c r="D76" s="6" t="inlineStr">
        <is>
          <t>Kite</t>
        </is>
      </c>
      <c r="E76" s="6" t="inlineStr">
        <is>
          <t>OPPO CPH3009</t>
        </is>
      </c>
      <c r="F76" s="41">
        <f>A76&amp;"|"&amp;D76&amp;"|"&amp;E76</f>
        <v/>
      </c>
      <c r="G76" s="63" t="n"/>
      <c r="H76" s="63" t="n"/>
      <c r="I76" s="63" t="n"/>
      <c r="J76" s="63" t="n"/>
      <c r="K76" s="63" t="n"/>
      <c r="L76" s="64">
        <f>IF(COUNT(G76:K76)=0,"",MEDIAN(G76:K76))</f>
        <v/>
      </c>
      <c r="M76" s="65">
        <f>IF(COUNT(G76:K76)=0,"",MIN(G76:K76))</f>
        <v/>
      </c>
      <c r="N76" s="65">
        <f>IF(COUNT(G76:K76)=0,"",MAX(G76:K76))</f>
        <v/>
      </c>
      <c r="O76" s="45">
        <f>IF(COUNT(G76:K76)&lt;2,"",IF(L76=0,"",(N76-M76)/L76))</f>
        <v/>
      </c>
      <c r="P76" s="5" t="n"/>
    </row>
    <row r="77">
      <c r="A77" s="6" t="inlineStr">
        <is>
          <t>L11</t>
        </is>
      </c>
      <c r="B77" s="6" t="inlineStr">
        <is>
          <t>Network connections during Watchlist tab &gt; Bench 20 load</t>
        </is>
      </c>
      <c r="C77" s="6" t="inlineStr">
        <is>
          <t>count</t>
        </is>
      </c>
      <c r="D77" s="6" t="inlineStr">
        <is>
          <t>Groww</t>
        </is>
      </c>
      <c r="E77" s="6" t="inlineStr">
        <is>
          <t>OPPO CPH3009</t>
        </is>
      </c>
      <c r="F77" s="41">
        <f>A77&amp;"|"&amp;D77&amp;"|"&amp;E77</f>
        <v/>
      </c>
      <c r="G77" s="63" t="n"/>
      <c r="H77" s="63" t="n"/>
      <c r="I77" s="63" t="n"/>
      <c r="J77" s="63" t="n"/>
      <c r="K77" s="63" t="n"/>
      <c r="L77" s="64">
        <f>IF(COUNT(G77:K77)=0,"",MEDIAN(G77:K77))</f>
        <v/>
      </c>
      <c r="M77" s="65">
        <f>IF(COUNT(G77:K77)=0,"",MIN(G77:K77))</f>
        <v/>
      </c>
      <c r="N77" s="65">
        <f>IF(COUNT(G77:K77)=0,"",MAX(G77:K77))</f>
        <v/>
      </c>
      <c r="O77" s="45">
        <f>IF(COUNT(G77:K77)&lt;2,"",IF(L77=0,"",(N77-M77)/L77))</f>
        <v/>
      </c>
      <c r="P77" s="5" t="n"/>
    </row>
    <row r="78">
      <c r="A78" s="6" t="inlineStr">
        <is>
          <t>L11</t>
        </is>
      </c>
      <c r="B78" s="6" t="inlineStr">
        <is>
          <t>Network connections during Watchlist tab &gt; Bench 20 load</t>
        </is>
      </c>
      <c r="C78" s="6" t="inlineStr">
        <is>
          <t>count</t>
        </is>
      </c>
      <c r="D78" s="6" t="inlineStr">
        <is>
          <t>Angel One</t>
        </is>
      </c>
      <c r="E78" s="6" t="inlineStr">
        <is>
          <t>OPPO CPH3009</t>
        </is>
      </c>
      <c r="F78" s="41">
        <f>A78&amp;"|"&amp;D78&amp;"|"&amp;E78</f>
        <v/>
      </c>
      <c r="G78" s="63" t="n"/>
      <c r="H78" s="63" t="n"/>
      <c r="I78" s="63" t="n"/>
      <c r="J78" s="63" t="n"/>
      <c r="K78" s="63" t="n"/>
      <c r="L78" s="64">
        <f>IF(COUNT(G78:K78)=0,"",MEDIAN(G78:K78))</f>
        <v/>
      </c>
      <c r="M78" s="65">
        <f>IF(COUNT(G78:K78)=0,"",MIN(G78:K78))</f>
        <v/>
      </c>
      <c r="N78" s="65">
        <f>IF(COUNT(G78:K78)=0,"",MAX(G78:K78))</f>
        <v/>
      </c>
      <c r="O78" s="45">
        <f>IF(COUNT(G78:K78)&lt;2,"",IF(L78=0,"",(N78-M78)/L78))</f>
        <v/>
      </c>
      <c r="P78" s="5" t="n"/>
    </row>
    <row r="79">
      <c r="A79" s="6" t="inlineStr">
        <is>
          <t>L11</t>
        </is>
      </c>
      <c r="B79" s="6" t="inlineStr">
        <is>
          <t>Network connections during Watchlist tab &gt; Bench 20 load</t>
        </is>
      </c>
      <c r="C79" s="6" t="inlineStr">
        <is>
          <t>count</t>
        </is>
      </c>
      <c r="D79" s="6" t="inlineStr">
        <is>
          <t>INDmoney</t>
        </is>
      </c>
      <c r="E79" s="6" t="inlineStr">
        <is>
          <t>OPPO CPH3009</t>
        </is>
      </c>
      <c r="F79" s="41">
        <f>A79&amp;"|"&amp;D79&amp;"|"&amp;E79</f>
        <v/>
      </c>
      <c r="G79" s="63" t="n"/>
      <c r="H79" s="63" t="n"/>
      <c r="I79" s="63" t="n"/>
      <c r="J79" s="63" t="n"/>
      <c r="K79" s="63" t="n"/>
      <c r="L79" s="64">
        <f>IF(COUNT(G79:K79)=0,"",MEDIAN(G79:K79))</f>
        <v/>
      </c>
      <c r="M79" s="65">
        <f>IF(COUNT(G79:K79)=0,"",MIN(G79:K79))</f>
        <v/>
      </c>
      <c r="N79" s="65">
        <f>IF(COUNT(G79:K79)=0,"",MAX(G79:K79))</f>
        <v/>
      </c>
      <c r="O79" s="45">
        <f>IF(COUNT(G79:K79)&lt;2,"",IF(L79=0,"",(N79-M79)/L79))</f>
        <v/>
      </c>
      <c r="P79" s="5" t="n"/>
    </row>
    <row r="80">
      <c r="A80" s="6" t="inlineStr">
        <is>
          <t>L11</t>
        </is>
      </c>
      <c r="B80" s="6" t="inlineStr">
        <is>
          <t>Network connections during Watchlist tab &gt; Bench 20 load</t>
        </is>
      </c>
      <c r="C80" s="6" t="inlineStr">
        <is>
          <t>count</t>
        </is>
      </c>
      <c r="D80" s="6" t="inlineStr">
        <is>
          <t>Kotak Neo</t>
        </is>
      </c>
      <c r="E80" s="6" t="inlineStr">
        <is>
          <t>OPPO CPH3009</t>
        </is>
      </c>
      <c r="F80" s="41">
        <f>A80&amp;"|"&amp;D80&amp;"|"&amp;E80</f>
        <v/>
      </c>
      <c r="G80" s="63" t="n"/>
      <c r="H80" s="63" t="n"/>
      <c r="I80" s="63" t="n"/>
      <c r="J80" s="63" t="n"/>
      <c r="K80" s="63" t="n"/>
      <c r="L80" s="64">
        <f>IF(COUNT(G80:K80)=0,"",MEDIAN(G80:K80))</f>
        <v/>
      </c>
      <c r="M80" s="65">
        <f>IF(COUNT(G80:K80)=0,"",MIN(G80:K80))</f>
        <v/>
      </c>
      <c r="N80" s="65">
        <f>IF(COUNT(G80:K80)=0,"",MAX(G80:K80))</f>
        <v/>
      </c>
      <c r="O80" s="45">
        <f>IF(COUNT(G80:K80)&lt;2,"",IF(L80=0,"",(N80-M80)/L80))</f>
        <v/>
      </c>
      <c r="P80" s="5" t="n"/>
    </row>
    <row r="81">
      <c r="A81" s="6" t="inlineStr">
        <is>
          <t>L11</t>
        </is>
      </c>
      <c r="B81" s="6" t="inlineStr">
        <is>
          <t>Network connections during Watchlist tab &gt; Bench 20 load</t>
        </is>
      </c>
      <c r="C81" s="6" t="inlineStr">
        <is>
          <t>count</t>
        </is>
      </c>
      <c r="D81" s="6" t="inlineStr">
        <is>
          <t>SAHI</t>
        </is>
      </c>
      <c r="E81" s="6" t="inlineStr">
        <is>
          <t>OPPO CPH3009</t>
        </is>
      </c>
      <c r="F81" s="41">
        <f>A81&amp;"|"&amp;D81&amp;"|"&amp;E81</f>
        <v/>
      </c>
      <c r="G81" s="63" t="n"/>
      <c r="H81" s="63" t="n"/>
      <c r="I81" s="63" t="n"/>
      <c r="J81" s="63" t="n"/>
      <c r="K81" s="63" t="n"/>
      <c r="L81" s="64">
        <f>IF(COUNT(G81:K81)=0,"",MEDIAN(G81:K81))</f>
        <v/>
      </c>
      <c r="M81" s="65">
        <f>IF(COUNT(G81:K81)=0,"",MIN(G81:K81))</f>
        <v/>
      </c>
      <c r="N81" s="65">
        <f>IF(COUNT(G81:K81)=0,"",MAX(G81:K81))</f>
        <v/>
      </c>
      <c r="O81" s="45">
        <f>IF(COUNT(G81:K81)&lt;2,"",IF(L81=0,"",(N81-M81)/L81))</f>
        <v/>
      </c>
      <c r="P81" s="5" t="n"/>
    </row>
    <row r="82">
      <c r="A82" s="8" t="inlineStr">
        <is>
          <t>L12</t>
        </is>
      </c>
      <c r="B82" s="8" t="inlineStr">
        <is>
          <t>Watchlist tab &gt; Bench 20 load on throttled network (~1 Mbps)</t>
        </is>
      </c>
      <c r="C82" s="8" t="inlineStr">
        <is>
          <t>ms</t>
        </is>
      </c>
      <c r="D82" s="8" t="inlineStr">
        <is>
          <t>RISE</t>
        </is>
      </c>
      <c r="E82" s="8" t="inlineStr">
        <is>
          <t>OPPO CPH3009</t>
        </is>
      </c>
      <c r="F82" s="41">
        <f>A82&amp;"|"&amp;D82&amp;"|"&amp;E82</f>
        <v/>
      </c>
      <c r="G82" s="63" t="n"/>
      <c r="H82" s="63" t="n"/>
      <c r="I82" s="63" t="n"/>
      <c r="J82" s="63" t="n"/>
      <c r="K82" s="63" t="n"/>
      <c r="L82" s="64">
        <f>IF(COUNT(G82:K82)=0,"",MEDIAN(G82:K82))</f>
        <v/>
      </c>
      <c r="M82" s="65">
        <f>IF(COUNT(G82:K82)=0,"",MIN(G82:K82))</f>
        <v/>
      </c>
      <c r="N82" s="65">
        <f>IF(COUNT(G82:K82)=0,"",MAX(G82:K82))</f>
        <v/>
      </c>
      <c r="O82" s="45">
        <f>IF(COUNT(G82:K82)&lt;2,"",IF(L82=0,"",(N82-M82)/L82))</f>
        <v/>
      </c>
      <c r="P82" s="5" t="n"/>
    </row>
    <row r="83">
      <c r="A83" s="46" t="inlineStr">
        <is>
          <t>L12</t>
        </is>
      </c>
      <c r="B83" s="46" t="inlineStr">
        <is>
          <t>Watchlist tab &gt; Bench 20 load on throttled network (~1 Mbps)</t>
        </is>
      </c>
      <c r="C83" s="46" t="inlineStr">
        <is>
          <t>ms</t>
        </is>
      </c>
      <c r="D83" s="46" t="inlineStr">
        <is>
          <t>Kite</t>
        </is>
      </c>
      <c r="E83" s="46" t="inlineStr">
        <is>
          <t>OPPO CPH3009</t>
        </is>
      </c>
      <c r="F83" s="41">
        <f>A83&amp;"|"&amp;D83&amp;"|"&amp;E83</f>
        <v/>
      </c>
      <c r="G83" s="63" t="n"/>
      <c r="H83" s="63" t="n"/>
      <c r="I83" s="63" t="n"/>
      <c r="J83" s="63" t="n"/>
      <c r="K83" s="63" t="n"/>
      <c r="L83" s="64">
        <f>IF(COUNT(G83:K83)=0,"",MEDIAN(G83:K83))</f>
        <v/>
      </c>
      <c r="M83" s="65">
        <f>IF(COUNT(G83:K83)=0,"",MIN(G83:K83))</f>
        <v/>
      </c>
      <c r="N83" s="65">
        <f>IF(COUNT(G83:K83)=0,"",MAX(G83:K83))</f>
        <v/>
      </c>
      <c r="O83" s="45">
        <f>IF(COUNT(G83:K83)&lt;2,"",IF(L83=0,"",(N83-M83)/L83))</f>
        <v/>
      </c>
      <c r="P83" s="5" t="n"/>
    </row>
    <row r="84">
      <c r="A84" s="46" t="inlineStr">
        <is>
          <t>L12</t>
        </is>
      </c>
      <c r="B84" s="46" t="inlineStr">
        <is>
          <t>Watchlist tab &gt; Bench 20 load on throttled network (~1 Mbps)</t>
        </is>
      </c>
      <c r="C84" s="46" t="inlineStr">
        <is>
          <t>ms</t>
        </is>
      </c>
      <c r="D84" s="46" t="inlineStr">
        <is>
          <t>Groww</t>
        </is>
      </c>
      <c r="E84" s="46" t="inlineStr">
        <is>
          <t>OPPO CPH3009</t>
        </is>
      </c>
      <c r="F84" s="41">
        <f>A84&amp;"|"&amp;D84&amp;"|"&amp;E84</f>
        <v/>
      </c>
      <c r="G84" s="63" t="n"/>
      <c r="H84" s="63" t="n"/>
      <c r="I84" s="63" t="n"/>
      <c r="J84" s="63" t="n"/>
      <c r="K84" s="63" t="n"/>
      <c r="L84" s="64">
        <f>IF(COUNT(G84:K84)=0,"",MEDIAN(G84:K84))</f>
        <v/>
      </c>
      <c r="M84" s="65">
        <f>IF(COUNT(G84:K84)=0,"",MIN(G84:K84))</f>
        <v/>
      </c>
      <c r="N84" s="65">
        <f>IF(COUNT(G84:K84)=0,"",MAX(G84:K84))</f>
        <v/>
      </c>
      <c r="O84" s="45">
        <f>IF(COUNT(G84:K84)&lt;2,"",IF(L84=0,"",(N84-M84)/L84))</f>
        <v/>
      </c>
      <c r="P84" s="5" t="n"/>
    </row>
    <row r="85">
      <c r="A85" s="46" t="inlineStr">
        <is>
          <t>L12</t>
        </is>
      </c>
      <c r="B85" s="46" t="inlineStr">
        <is>
          <t>Watchlist tab &gt; Bench 20 load on throttled network (~1 Mbps)</t>
        </is>
      </c>
      <c r="C85" s="46" t="inlineStr">
        <is>
          <t>ms</t>
        </is>
      </c>
      <c r="D85" s="46" t="inlineStr">
        <is>
          <t>Angel One</t>
        </is>
      </c>
      <c r="E85" s="46" t="inlineStr">
        <is>
          <t>OPPO CPH3009</t>
        </is>
      </c>
      <c r="F85" s="41">
        <f>A85&amp;"|"&amp;D85&amp;"|"&amp;E85</f>
        <v/>
      </c>
      <c r="G85" s="63" t="n"/>
      <c r="H85" s="63" t="n"/>
      <c r="I85" s="63" t="n"/>
      <c r="J85" s="63" t="n"/>
      <c r="K85" s="63" t="n"/>
      <c r="L85" s="64">
        <f>IF(COUNT(G85:K85)=0,"",MEDIAN(G85:K85))</f>
        <v/>
      </c>
      <c r="M85" s="65">
        <f>IF(COUNT(G85:K85)=0,"",MIN(G85:K85))</f>
        <v/>
      </c>
      <c r="N85" s="65">
        <f>IF(COUNT(G85:K85)=0,"",MAX(G85:K85))</f>
        <v/>
      </c>
      <c r="O85" s="45">
        <f>IF(COUNT(G85:K85)&lt;2,"",IF(L85=0,"",(N85-M85)/L85))</f>
        <v/>
      </c>
      <c r="P85" s="5" t="n"/>
    </row>
    <row r="86">
      <c r="A86" s="46" t="inlineStr">
        <is>
          <t>L12</t>
        </is>
      </c>
      <c r="B86" s="46" t="inlineStr">
        <is>
          <t>Watchlist tab &gt; Bench 20 load on throttled network (~1 Mbps)</t>
        </is>
      </c>
      <c r="C86" s="46" t="inlineStr">
        <is>
          <t>ms</t>
        </is>
      </c>
      <c r="D86" s="46" t="inlineStr">
        <is>
          <t>INDmoney</t>
        </is>
      </c>
      <c r="E86" s="46" t="inlineStr">
        <is>
          <t>OPPO CPH3009</t>
        </is>
      </c>
      <c r="F86" s="41">
        <f>A86&amp;"|"&amp;D86&amp;"|"&amp;E86</f>
        <v/>
      </c>
      <c r="G86" s="63" t="n"/>
      <c r="H86" s="63" t="n"/>
      <c r="I86" s="63" t="n"/>
      <c r="J86" s="63" t="n"/>
      <c r="K86" s="63" t="n"/>
      <c r="L86" s="64">
        <f>IF(COUNT(G86:K86)=0,"",MEDIAN(G86:K86))</f>
        <v/>
      </c>
      <c r="M86" s="65">
        <f>IF(COUNT(G86:K86)=0,"",MIN(G86:K86))</f>
        <v/>
      </c>
      <c r="N86" s="65">
        <f>IF(COUNT(G86:K86)=0,"",MAX(G86:K86))</f>
        <v/>
      </c>
      <c r="O86" s="45">
        <f>IF(COUNT(G86:K86)&lt;2,"",IF(L86=0,"",(N86-M86)/L86))</f>
        <v/>
      </c>
      <c r="P86" s="5" t="n"/>
    </row>
    <row r="87">
      <c r="A87" s="46" t="inlineStr">
        <is>
          <t>L12</t>
        </is>
      </c>
      <c r="B87" s="46" t="inlineStr">
        <is>
          <t>Watchlist tab &gt; Bench 20 load on throttled network (~1 Mbps)</t>
        </is>
      </c>
      <c r="C87" s="46" t="inlineStr">
        <is>
          <t>ms</t>
        </is>
      </c>
      <c r="D87" s="46" t="inlineStr">
        <is>
          <t>Kotak Neo</t>
        </is>
      </c>
      <c r="E87" s="46" t="inlineStr">
        <is>
          <t>OPPO CPH3009</t>
        </is>
      </c>
      <c r="F87" s="41">
        <f>A87&amp;"|"&amp;D87&amp;"|"&amp;E87</f>
        <v/>
      </c>
      <c r="G87" s="63" t="n"/>
      <c r="H87" s="63" t="n"/>
      <c r="I87" s="63" t="n"/>
      <c r="J87" s="63" t="n"/>
      <c r="K87" s="63" t="n"/>
      <c r="L87" s="64">
        <f>IF(COUNT(G87:K87)=0,"",MEDIAN(G87:K87))</f>
        <v/>
      </c>
      <c r="M87" s="65">
        <f>IF(COUNT(G87:K87)=0,"",MIN(G87:K87))</f>
        <v/>
      </c>
      <c r="N87" s="65">
        <f>IF(COUNT(G87:K87)=0,"",MAX(G87:K87))</f>
        <v/>
      </c>
      <c r="O87" s="45">
        <f>IF(COUNT(G87:K87)&lt;2,"",IF(L87=0,"",(N87-M87)/L87))</f>
        <v/>
      </c>
      <c r="P87" s="5" t="n"/>
    </row>
    <row r="88">
      <c r="A88" s="46" t="inlineStr">
        <is>
          <t>L12</t>
        </is>
      </c>
      <c r="B88" s="46" t="inlineStr">
        <is>
          <t>Watchlist tab &gt; Bench 20 load on throttled network (~1 Mbps)</t>
        </is>
      </c>
      <c r="C88" s="46" t="inlineStr">
        <is>
          <t>ms</t>
        </is>
      </c>
      <c r="D88" s="46" t="inlineStr">
        <is>
          <t>SAHI</t>
        </is>
      </c>
      <c r="E88" s="46" t="inlineStr">
        <is>
          <t>OPPO CPH3009</t>
        </is>
      </c>
      <c r="F88" s="41">
        <f>A88&amp;"|"&amp;D88&amp;"|"&amp;E88</f>
        <v/>
      </c>
      <c r="G88" s="63" t="n"/>
      <c r="H88" s="63" t="n"/>
      <c r="I88" s="63" t="n"/>
      <c r="J88" s="63" t="n"/>
      <c r="K88" s="63" t="n"/>
      <c r="L88" s="64">
        <f>IF(COUNT(G88:K88)=0,"",MEDIAN(G88:K88))</f>
        <v/>
      </c>
      <c r="M88" s="65">
        <f>IF(COUNT(G88:K88)=0,"",MIN(G88:K88))</f>
        <v/>
      </c>
      <c r="N88" s="65">
        <f>IF(COUNT(G88:K88)=0,"",MAX(G88:K88))</f>
        <v/>
      </c>
      <c r="O88" s="45">
        <f>IF(COUNT(G88:K88)&lt;2,"",IF(L88=0,"",(N88-M88)/L88))</f>
        <v/>
      </c>
      <c r="P88" s="5" t="n"/>
    </row>
    <row r="89">
      <c r="A89" s="8" t="inlineStr">
        <is>
          <t>L13</t>
        </is>
      </c>
      <c r="B89" s="8" t="inlineStr">
        <is>
          <t>Recovery after reconnect → fresh data shown on Watchlist tab &gt; Bench 20</t>
        </is>
      </c>
      <c r="C89" s="8" t="inlineStr">
        <is>
          <t>ms</t>
        </is>
      </c>
      <c r="D89" s="8" t="inlineStr">
        <is>
          <t>RISE</t>
        </is>
      </c>
      <c r="E89" s="8" t="inlineStr">
        <is>
          <t>OPPO CPH3009</t>
        </is>
      </c>
      <c r="F89" s="41">
        <f>A89&amp;"|"&amp;D89&amp;"|"&amp;E89</f>
        <v/>
      </c>
      <c r="G89" s="63" t="n"/>
      <c r="H89" s="63" t="n"/>
      <c r="I89" s="63" t="n"/>
      <c r="J89" s="63" t="n"/>
      <c r="K89" s="63" t="n"/>
      <c r="L89" s="64">
        <f>IF(COUNT(G89:K89)=0,"",MEDIAN(G89:K89))</f>
        <v/>
      </c>
      <c r="M89" s="65">
        <f>IF(COUNT(G89:K89)=0,"",MIN(G89:K89))</f>
        <v/>
      </c>
      <c r="N89" s="65">
        <f>IF(COUNT(G89:K89)=0,"",MAX(G89:K89))</f>
        <v/>
      </c>
      <c r="O89" s="45">
        <f>IF(COUNT(G89:K89)&lt;2,"",IF(L89=0,"",(N89-M89)/L89))</f>
        <v/>
      </c>
      <c r="P89" s="5" t="n"/>
    </row>
    <row r="90">
      <c r="A90" s="6" t="inlineStr">
        <is>
          <t>L13</t>
        </is>
      </c>
      <c r="B90" s="6" t="inlineStr">
        <is>
          <t>Recovery after reconnect → fresh data shown on Watchlist tab &gt; Bench 20</t>
        </is>
      </c>
      <c r="C90" s="6" t="inlineStr">
        <is>
          <t>ms</t>
        </is>
      </c>
      <c r="D90" s="6" t="inlineStr">
        <is>
          <t>Kite</t>
        </is>
      </c>
      <c r="E90" s="6" t="inlineStr">
        <is>
          <t>OPPO CPH3009</t>
        </is>
      </c>
      <c r="F90" s="41">
        <f>A90&amp;"|"&amp;D90&amp;"|"&amp;E90</f>
        <v/>
      </c>
      <c r="G90" s="63" t="n"/>
      <c r="H90" s="63" t="n"/>
      <c r="I90" s="63" t="n"/>
      <c r="J90" s="63" t="n"/>
      <c r="K90" s="63" t="n"/>
      <c r="L90" s="64">
        <f>IF(COUNT(G90:K90)=0,"",MEDIAN(G90:K90))</f>
        <v/>
      </c>
      <c r="M90" s="65">
        <f>IF(COUNT(G90:K90)=0,"",MIN(G90:K90))</f>
        <v/>
      </c>
      <c r="N90" s="65">
        <f>IF(COUNT(G90:K90)=0,"",MAX(G90:K90))</f>
        <v/>
      </c>
      <c r="O90" s="45">
        <f>IF(COUNT(G90:K90)&lt;2,"",IF(L90=0,"",(N90-M90)/L90))</f>
        <v/>
      </c>
      <c r="P90" s="5" t="n"/>
    </row>
    <row r="91">
      <c r="A91" s="6" t="inlineStr">
        <is>
          <t>L13</t>
        </is>
      </c>
      <c r="B91" s="6" t="inlineStr">
        <is>
          <t>Recovery after reconnect → fresh data shown on Watchlist tab &gt; Bench 20</t>
        </is>
      </c>
      <c r="C91" s="6" t="inlineStr">
        <is>
          <t>ms</t>
        </is>
      </c>
      <c r="D91" s="6" t="inlineStr">
        <is>
          <t>Groww</t>
        </is>
      </c>
      <c r="E91" s="6" t="inlineStr">
        <is>
          <t>OPPO CPH3009</t>
        </is>
      </c>
      <c r="F91" s="41">
        <f>A91&amp;"|"&amp;D91&amp;"|"&amp;E91</f>
        <v/>
      </c>
      <c r="G91" s="63" t="n"/>
      <c r="H91" s="63" t="n"/>
      <c r="I91" s="63" t="n"/>
      <c r="J91" s="63" t="n"/>
      <c r="K91" s="63" t="n"/>
      <c r="L91" s="64">
        <f>IF(COUNT(G91:K91)=0,"",MEDIAN(G91:K91))</f>
        <v/>
      </c>
      <c r="M91" s="65">
        <f>IF(COUNT(G91:K91)=0,"",MIN(G91:K91))</f>
        <v/>
      </c>
      <c r="N91" s="65">
        <f>IF(COUNT(G91:K91)=0,"",MAX(G91:K91))</f>
        <v/>
      </c>
      <c r="O91" s="45">
        <f>IF(COUNT(G91:K91)&lt;2,"",IF(L91=0,"",(N91-M91)/L91))</f>
        <v/>
      </c>
      <c r="P91" s="5" t="n"/>
    </row>
    <row r="92">
      <c r="A92" s="6" t="inlineStr">
        <is>
          <t>L13</t>
        </is>
      </c>
      <c r="B92" s="6" t="inlineStr">
        <is>
          <t>Recovery after reconnect → fresh data shown on Watchlist tab &gt; Bench 20</t>
        </is>
      </c>
      <c r="C92" s="6" t="inlineStr">
        <is>
          <t>ms</t>
        </is>
      </c>
      <c r="D92" s="6" t="inlineStr">
        <is>
          <t>Angel One</t>
        </is>
      </c>
      <c r="E92" s="6" t="inlineStr">
        <is>
          <t>OPPO CPH3009</t>
        </is>
      </c>
      <c r="F92" s="41">
        <f>A92&amp;"|"&amp;D92&amp;"|"&amp;E92</f>
        <v/>
      </c>
      <c r="G92" s="63" t="n"/>
      <c r="H92" s="63" t="n"/>
      <c r="I92" s="63" t="n"/>
      <c r="J92" s="63" t="n"/>
      <c r="K92" s="63" t="n"/>
      <c r="L92" s="64">
        <f>IF(COUNT(G92:K92)=0,"",MEDIAN(G92:K92))</f>
        <v/>
      </c>
      <c r="M92" s="65">
        <f>IF(COUNT(G92:K92)=0,"",MIN(G92:K92))</f>
        <v/>
      </c>
      <c r="N92" s="65">
        <f>IF(COUNT(G92:K92)=0,"",MAX(G92:K92))</f>
        <v/>
      </c>
      <c r="O92" s="45">
        <f>IF(COUNT(G92:K92)&lt;2,"",IF(L92=0,"",(N92-M92)/L92))</f>
        <v/>
      </c>
      <c r="P92" s="5" t="n"/>
    </row>
    <row r="93">
      <c r="A93" s="6" t="inlineStr">
        <is>
          <t>L13</t>
        </is>
      </c>
      <c r="B93" s="6" t="inlineStr">
        <is>
          <t>Recovery after reconnect → fresh data shown on Watchlist tab &gt; Bench 20</t>
        </is>
      </c>
      <c r="C93" s="6" t="inlineStr">
        <is>
          <t>ms</t>
        </is>
      </c>
      <c r="D93" s="6" t="inlineStr">
        <is>
          <t>INDmoney</t>
        </is>
      </c>
      <c r="E93" s="6" t="inlineStr">
        <is>
          <t>OPPO CPH3009</t>
        </is>
      </c>
      <c r="F93" s="41">
        <f>A93&amp;"|"&amp;D93&amp;"|"&amp;E93</f>
        <v/>
      </c>
      <c r="G93" s="63" t="n"/>
      <c r="H93" s="63" t="n"/>
      <c r="I93" s="63" t="n"/>
      <c r="J93" s="63" t="n"/>
      <c r="K93" s="63" t="n"/>
      <c r="L93" s="64">
        <f>IF(COUNT(G93:K93)=0,"",MEDIAN(G93:K93))</f>
        <v/>
      </c>
      <c r="M93" s="65">
        <f>IF(COUNT(G93:K93)=0,"",MIN(G93:K93))</f>
        <v/>
      </c>
      <c r="N93" s="65">
        <f>IF(COUNT(G93:K93)=0,"",MAX(G93:K93))</f>
        <v/>
      </c>
      <c r="O93" s="45">
        <f>IF(COUNT(G93:K93)&lt;2,"",IF(L93=0,"",(N93-M93)/L93))</f>
        <v/>
      </c>
      <c r="P93" s="5" t="n"/>
    </row>
    <row r="94">
      <c r="A94" s="6" t="inlineStr">
        <is>
          <t>L13</t>
        </is>
      </c>
      <c r="B94" s="6" t="inlineStr">
        <is>
          <t>Recovery after reconnect → fresh data shown on Watchlist tab &gt; Bench 20</t>
        </is>
      </c>
      <c r="C94" s="6" t="inlineStr">
        <is>
          <t>ms</t>
        </is>
      </c>
      <c r="D94" s="6" t="inlineStr">
        <is>
          <t>Kotak Neo</t>
        </is>
      </c>
      <c r="E94" s="6" t="inlineStr">
        <is>
          <t>OPPO CPH3009</t>
        </is>
      </c>
      <c r="F94" s="41">
        <f>A94&amp;"|"&amp;D94&amp;"|"&amp;E94</f>
        <v/>
      </c>
      <c r="G94" s="63" t="n"/>
      <c r="H94" s="63" t="n"/>
      <c r="I94" s="63" t="n"/>
      <c r="J94" s="63" t="n"/>
      <c r="K94" s="63" t="n"/>
      <c r="L94" s="64">
        <f>IF(COUNT(G94:K94)=0,"",MEDIAN(G94:K94))</f>
        <v/>
      </c>
      <c r="M94" s="65">
        <f>IF(COUNT(G94:K94)=0,"",MIN(G94:K94))</f>
        <v/>
      </c>
      <c r="N94" s="65">
        <f>IF(COUNT(G94:K94)=0,"",MAX(G94:K94))</f>
        <v/>
      </c>
      <c r="O94" s="45">
        <f>IF(COUNT(G94:K94)&lt;2,"",IF(L94=0,"",(N94-M94)/L94))</f>
        <v/>
      </c>
      <c r="P94" s="5" t="n"/>
    </row>
    <row r="95">
      <c r="A95" s="6" t="inlineStr">
        <is>
          <t>L13</t>
        </is>
      </c>
      <c r="B95" s="6" t="inlineStr">
        <is>
          <t>Recovery after reconnect → fresh data shown on Watchlist tab &gt; Bench 20</t>
        </is>
      </c>
      <c r="C95" s="6" t="inlineStr">
        <is>
          <t>ms</t>
        </is>
      </c>
      <c r="D95" s="6" t="inlineStr">
        <is>
          <t>SAHI</t>
        </is>
      </c>
      <c r="E95" s="6" t="inlineStr">
        <is>
          <t>OPPO CPH3009</t>
        </is>
      </c>
      <c r="F95" s="41">
        <f>A95&amp;"|"&amp;D95&amp;"|"&amp;E95</f>
        <v/>
      </c>
      <c r="G95" s="63" t="n"/>
      <c r="H95" s="63" t="n"/>
      <c r="I95" s="63" t="n"/>
      <c r="J95" s="63" t="n"/>
      <c r="K95" s="63" t="n"/>
      <c r="L95" s="64">
        <f>IF(COUNT(G95:K95)=0,"",MEDIAN(G95:K95))</f>
        <v/>
      </c>
      <c r="M95" s="65">
        <f>IF(COUNT(G95:K95)=0,"",MIN(G95:K95))</f>
        <v/>
      </c>
      <c r="N95" s="65">
        <f>IF(COUNT(G95:K95)=0,"",MAX(G95:K95))</f>
        <v/>
      </c>
      <c r="O95" s="45">
        <f>IF(COUNT(G95:K95)&lt;2,"",IF(L95=0,"",(N95-M95)/L95))</f>
        <v/>
      </c>
      <c r="P95" s="5" t="n"/>
    </row>
    <row r="96">
      <c r="A96" s="8" t="inlineStr">
        <is>
          <t>L14</t>
        </is>
      </c>
      <c r="B96" s="8" t="inlineStr">
        <is>
          <t>In-screen tab / sub-section switch on Watchlist tab &gt; Bench 20, tap to content</t>
        </is>
      </c>
      <c r="C96" s="8" t="inlineStr">
        <is>
          <t>ms</t>
        </is>
      </c>
      <c r="D96" s="8" t="inlineStr">
        <is>
          <t>RISE</t>
        </is>
      </c>
      <c r="E96" s="8" t="inlineStr">
        <is>
          <t>OPPO CPH3009</t>
        </is>
      </c>
      <c r="F96" s="41">
        <f>A96&amp;"|"&amp;D96&amp;"|"&amp;E96</f>
        <v/>
      </c>
      <c r="G96" s="63" t="n"/>
      <c r="H96" s="63" t="n"/>
      <c r="I96" s="63" t="n"/>
      <c r="J96" s="63" t="n"/>
      <c r="K96" s="63" t="n"/>
      <c r="L96" s="64">
        <f>IF(COUNT(G96:K96)=0,"",MEDIAN(G96:K96))</f>
        <v/>
      </c>
      <c r="M96" s="65">
        <f>IF(COUNT(G96:K96)=0,"",MIN(G96:K96))</f>
        <v/>
      </c>
      <c r="N96" s="65">
        <f>IF(COUNT(G96:K96)=0,"",MAX(G96:K96))</f>
        <v/>
      </c>
      <c r="O96" s="45">
        <f>IF(COUNT(G96:K96)&lt;2,"",IF(L96=0,"",(N96-M96)/L96))</f>
        <v/>
      </c>
      <c r="P96" s="5" t="n"/>
    </row>
    <row r="97">
      <c r="A97" s="46" t="inlineStr">
        <is>
          <t>L14</t>
        </is>
      </c>
      <c r="B97" s="46" t="inlineStr">
        <is>
          <t>In-screen tab / sub-section switch on Watchlist tab &gt; Bench 20, tap to content</t>
        </is>
      </c>
      <c r="C97" s="46" t="inlineStr">
        <is>
          <t>ms</t>
        </is>
      </c>
      <c r="D97" s="46" t="inlineStr">
        <is>
          <t>Kite</t>
        </is>
      </c>
      <c r="E97" s="46" t="inlineStr">
        <is>
          <t>OPPO CPH3009</t>
        </is>
      </c>
      <c r="F97" s="41">
        <f>A97&amp;"|"&amp;D97&amp;"|"&amp;E97</f>
        <v/>
      </c>
      <c r="G97" s="63" t="n"/>
      <c r="H97" s="63" t="n"/>
      <c r="I97" s="63" t="n"/>
      <c r="J97" s="63" t="n"/>
      <c r="K97" s="63" t="n"/>
      <c r="L97" s="64">
        <f>IF(COUNT(G97:K97)=0,"",MEDIAN(G97:K97))</f>
        <v/>
      </c>
      <c r="M97" s="65">
        <f>IF(COUNT(G97:K97)=0,"",MIN(G97:K97))</f>
        <v/>
      </c>
      <c r="N97" s="65">
        <f>IF(COUNT(G97:K97)=0,"",MAX(G97:K97))</f>
        <v/>
      </c>
      <c r="O97" s="45">
        <f>IF(COUNT(G97:K97)&lt;2,"",IF(L97=0,"",(N97-M97)/L97))</f>
        <v/>
      </c>
      <c r="P97" s="5" t="n"/>
    </row>
    <row r="98">
      <c r="A98" s="46" t="inlineStr">
        <is>
          <t>L14</t>
        </is>
      </c>
      <c r="B98" s="46" t="inlineStr">
        <is>
          <t>In-screen tab / sub-section switch on Watchlist tab &gt; Bench 20, tap to content</t>
        </is>
      </c>
      <c r="C98" s="46" t="inlineStr">
        <is>
          <t>ms</t>
        </is>
      </c>
      <c r="D98" s="46" t="inlineStr">
        <is>
          <t>Groww</t>
        </is>
      </c>
      <c r="E98" s="46" t="inlineStr">
        <is>
          <t>OPPO CPH3009</t>
        </is>
      </c>
      <c r="F98" s="41">
        <f>A98&amp;"|"&amp;D98&amp;"|"&amp;E98</f>
        <v/>
      </c>
      <c r="G98" s="63" t="n"/>
      <c r="H98" s="63" t="n"/>
      <c r="I98" s="63" t="n"/>
      <c r="J98" s="63" t="n"/>
      <c r="K98" s="63" t="n"/>
      <c r="L98" s="64">
        <f>IF(COUNT(G98:K98)=0,"",MEDIAN(G98:K98))</f>
        <v/>
      </c>
      <c r="M98" s="65">
        <f>IF(COUNT(G98:K98)=0,"",MIN(G98:K98))</f>
        <v/>
      </c>
      <c r="N98" s="65">
        <f>IF(COUNT(G98:K98)=0,"",MAX(G98:K98))</f>
        <v/>
      </c>
      <c r="O98" s="45">
        <f>IF(COUNT(G98:K98)&lt;2,"",IF(L98=0,"",(N98-M98)/L98))</f>
        <v/>
      </c>
      <c r="P98" s="5" t="n"/>
    </row>
    <row r="99">
      <c r="A99" s="46" t="inlineStr">
        <is>
          <t>L14</t>
        </is>
      </c>
      <c r="B99" s="46" t="inlineStr">
        <is>
          <t>In-screen tab / sub-section switch on Watchlist tab &gt; Bench 20, tap to content</t>
        </is>
      </c>
      <c r="C99" s="46" t="inlineStr">
        <is>
          <t>ms</t>
        </is>
      </c>
      <c r="D99" s="46" t="inlineStr">
        <is>
          <t>Angel One</t>
        </is>
      </c>
      <c r="E99" s="46" t="inlineStr">
        <is>
          <t>OPPO CPH3009</t>
        </is>
      </c>
      <c r="F99" s="41">
        <f>A99&amp;"|"&amp;D99&amp;"|"&amp;E99</f>
        <v/>
      </c>
      <c r="G99" s="63" t="n"/>
      <c r="H99" s="63" t="n"/>
      <c r="I99" s="63" t="n"/>
      <c r="J99" s="63" t="n"/>
      <c r="K99" s="63" t="n"/>
      <c r="L99" s="64">
        <f>IF(COUNT(G99:K99)=0,"",MEDIAN(G99:K99))</f>
        <v/>
      </c>
      <c r="M99" s="65">
        <f>IF(COUNT(G99:K99)=0,"",MIN(G99:K99))</f>
        <v/>
      </c>
      <c r="N99" s="65">
        <f>IF(COUNT(G99:K99)=0,"",MAX(G99:K99))</f>
        <v/>
      </c>
      <c r="O99" s="45">
        <f>IF(COUNT(G99:K99)&lt;2,"",IF(L99=0,"",(N99-M99)/L99))</f>
        <v/>
      </c>
      <c r="P99" s="5" t="n"/>
    </row>
    <row r="100">
      <c r="A100" s="46" t="inlineStr">
        <is>
          <t>L14</t>
        </is>
      </c>
      <c r="B100" s="46" t="inlineStr">
        <is>
          <t>In-screen tab / sub-section switch on Watchlist tab &gt; Bench 20, tap to content</t>
        </is>
      </c>
      <c r="C100" s="46" t="inlineStr">
        <is>
          <t>ms</t>
        </is>
      </c>
      <c r="D100" s="46" t="inlineStr">
        <is>
          <t>INDmoney</t>
        </is>
      </c>
      <c r="E100" s="46" t="inlineStr">
        <is>
          <t>OPPO CPH3009</t>
        </is>
      </c>
      <c r="F100" s="41">
        <f>A100&amp;"|"&amp;D100&amp;"|"&amp;E100</f>
        <v/>
      </c>
      <c r="G100" s="63" t="n"/>
      <c r="H100" s="63" t="n"/>
      <c r="I100" s="63" t="n"/>
      <c r="J100" s="63" t="n"/>
      <c r="K100" s="63" t="n"/>
      <c r="L100" s="64">
        <f>IF(COUNT(G100:K100)=0,"",MEDIAN(G100:K100))</f>
        <v/>
      </c>
      <c r="M100" s="65">
        <f>IF(COUNT(G100:K100)=0,"",MIN(G100:K100))</f>
        <v/>
      </c>
      <c r="N100" s="65">
        <f>IF(COUNT(G100:K100)=0,"",MAX(G100:K100))</f>
        <v/>
      </c>
      <c r="O100" s="45">
        <f>IF(COUNT(G100:K100)&lt;2,"",IF(L100=0,"",(N100-M100)/L100))</f>
        <v/>
      </c>
      <c r="P100" s="5" t="n"/>
    </row>
    <row r="101">
      <c r="A101" s="46" t="inlineStr">
        <is>
          <t>L14</t>
        </is>
      </c>
      <c r="B101" s="46" t="inlineStr">
        <is>
          <t>In-screen tab / sub-section switch on Watchlist tab &gt; Bench 20, tap to content</t>
        </is>
      </c>
      <c r="C101" s="46" t="inlineStr">
        <is>
          <t>ms</t>
        </is>
      </c>
      <c r="D101" s="46" t="inlineStr">
        <is>
          <t>Kotak Neo</t>
        </is>
      </c>
      <c r="E101" s="46" t="inlineStr">
        <is>
          <t>OPPO CPH3009</t>
        </is>
      </c>
      <c r="F101" s="41">
        <f>A101&amp;"|"&amp;D101&amp;"|"&amp;E101</f>
        <v/>
      </c>
      <c r="G101" s="63" t="n"/>
      <c r="H101" s="63" t="n"/>
      <c r="I101" s="63" t="n"/>
      <c r="J101" s="63" t="n"/>
      <c r="K101" s="63" t="n"/>
      <c r="L101" s="64">
        <f>IF(COUNT(G101:K101)=0,"",MEDIAN(G101:K101))</f>
        <v/>
      </c>
      <c r="M101" s="65">
        <f>IF(COUNT(G101:K101)=0,"",MIN(G101:K101))</f>
        <v/>
      </c>
      <c r="N101" s="65">
        <f>IF(COUNT(G101:K101)=0,"",MAX(G101:K101))</f>
        <v/>
      </c>
      <c r="O101" s="45">
        <f>IF(COUNT(G101:K101)&lt;2,"",IF(L101=0,"",(N101-M101)/L101))</f>
        <v/>
      </c>
      <c r="P101" s="5" t="n"/>
    </row>
    <row r="102">
      <c r="A102" s="46" t="inlineStr">
        <is>
          <t>L14</t>
        </is>
      </c>
      <c r="B102" s="46" t="inlineStr">
        <is>
          <t>In-screen tab / sub-section switch on Watchlist tab &gt; Bench 20, tap to content</t>
        </is>
      </c>
      <c r="C102" s="46" t="inlineStr">
        <is>
          <t>ms</t>
        </is>
      </c>
      <c r="D102" s="46" t="inlineStr">
        <is>
          <t>SAHI</t>
        </is>
      </c>
      <c r="E102" s="46" t="inlineStr">
        <is>
          <t>OPPO CPH3009</t>
        </is>
      </c>
      <c r="F102" s="41">
        <f>A102&amp;"|"&amp;D102&amp;"|"&amp;E102</f>
        <v/>
      </c>
      <c r="G102" s="63" t="n"/>
      <c r="H102" s="63" t="n"/>
      <c r="I102" s="63" t="n"/>
      <c r="J102" s="63" t="n"/>
      <c r="K102" s="63" t="n"/>
      <c r="L102" s="64">
        <f>IF(COUNT(G102:K102)=0,"",MEDIAN(G102:K102))</f>
        <v/>
      </c>
      <c r="M102" s="65">
        <f>IF(COUNT(G102:K102)=0,"",MIN(G102:K102))</f>
        <v/>
      </c>
      <c r="N102" s="65">
        <f>IF(COUNT(G102:K102)=0,"",MAX(G102:K102))</f>
        <v/>
      </c>
      <c r="O102" s="45">
        <f>IF(COUNT(G102:K102)&lt;2,"",IF(L102=0,"",(N102-M102)/L102))</f>
        <v/>
      </c>
      <c r="P102" s="5" t="n"/>
    </row>
    <row r="103">
      <c r="A103" s="8" t="inlineStr">
        <is>
          <t>L15</t>
        </is>
      </c>
      <c r="B103" s="8" t="inlineStr">
        <is>
          <t>Data per Watchlist tab &gt; Bench 20 open (received + sent, open + 8 s)</t>
        </is>
      </c>
      <c r="C103" s="8" t="inlineStr">
        <is>
          <t>KB</t>
        </is>
      </c>
      <c r="D103" s="8" t="inlineStr">
        <is>
          <t>RISE</t>
        </is>
      </c>
      <c r="E103" s="8" t="inlineStr">
        <is>
          <t>OPPO CPH3009</t>
        </is>
      </c>
      <c r="F103" s="41">
        <f>A103&amp;"|"&amp;D103&amp;"|"&amp;E103</f>
        <v/>
      </c>
      <c r="G103" s="63" t="n">
        <v>115.1</v>
      </c>
      <c r="H103" s="63" t="n">
        <v>75.7</v>
      </c>
      <c r="I103" s="63" t="n">
        <v>71.59999999999999</v>
      </c>
      <c r="J103" s="63" t="n">
        <v>71.7</v>
      </c>
      <c r="K103" s="63" t="n">
        <v>94.5</v>
      </c>
      <c r="L103" s="64">
        <f>IF(COUNT(G103:K103)=0,"",MEDIAN(G103:K103))</f>
        <v/>
      </c>
      <c r="M103" s="65">
        <f>IF(COUNT(G103:K103)=0,"",MIN(G103:K103))</f>
        <v/>
      </c>
      <c r="N103" s="65">
        <f>IF(COUNT(G103:K103)=0,"",MAX(G103:K103))</f>
        <v/>
      </c>
      <c r="O103" s="45">
        <f>IF(COUNT(G103:K103)&lt;2,"",IF(L103=0,"",(N103-M103)/L103))</f>
        <v/>
      </c>
      <c r="P103" s="5" t="inlineStr">
        <is>
          <t>open + 8 s</t>
        </is>
      </c>
    </row>
    <row r="104">
      <c r="A104" s="6" t="inlineStr">
        <is>
          <t>L15</t>
        </is>
      </c>
      <c r="B104" s="6" t="inlineStr">
        <is>
          <t>Data per Watchlist tab &gt; Bench 20 open (received + sent, open + 8 s)</t>
        </is>
      </c>
      <c r="C104" s="6" t="inlineStr">
        <is>
          <t>KB</t>
        </is>
      </c>
      <c r="D104" s="6" t="inlineStr">
        <is>
          <t>Kite</t>
        </is>
      </c>
      <c r="E104" s="6" t="inlineStr">
        <is>
          <t>OPPO CPH3009</t>
        </is>
      </c>
      <c r="F104" s="41">
        <f>A104&amp;"|"&amp;D104&amp;"|"&amp;E104</f>
        <v/>
      </c>
      <c r="G104" s="63" t="n">
        <v>8.5</v>
      </c>
      <c r="H104" s="63" t="n">
        <v>6</v>
      </c>
      <c r="I104" s="63" t="n">
        <v>5.7</v>
      </c>
      <c r="J104" s="63" t="n">
        <v>5.5</v>
      </c>
      <c r="K104" s="63" t="n">
        <v>5.6</v>
      </c>
      <c r="L104" s="64">
        <f>IF(COUNT(G104:K104)=0,"",MEDIAN(G104:K104))</f>
        <v/>
      </c>
      <c r="M104" s="65">
        <f>IF(COUNT(G104:K104)=0,"",MIN(G104:K104))</f>
        <v/>
      </c>
      <c r="N104" s="65">
        <f>IF(COUNT(G104:K104)=0,"",MAX(G104:K104))</f>
        <v/>
      </c>
      <c r="O104" s="45">
        <f>IF(COUNT(G104:K104)&lt;2,"",IF(L104=0,"",(N104-M104)/L104))</f>
        <v/>
      </c>
      <c r="P104" s="5" t="inlineStr">
        <is>
          <t>open + 8 s</t>
        </is>
      </c>
    </row>
    <row r="105">
      <c r="A105" s="6" t="inlineStr">
        <is>
          <t>L15</t>
        </is>
      </c>
      <c r="B105" s="6" t="inlineStr">
        <is>
          <t>Data per Watchlist tab &gt; Bench 20 open (received + sent, open + 8 s)</t>
        </is>
      </c>
      <c r="C105" s="6" t="inlineStr">
        <is>
          <t>KB</t>
        </is>
      </c>
      <c r="D105" s="6" t="inlineStr">
        <is>
          <t>Groww</t>
        </is>
      </c>
      <c r="E105" s="6" t="inlineStr">
        <is>
          <t>OPPO CPH3009</t>
        </is>
      </c>
      <c r="F105" s="41">
        <f>A105&amp;"|"&amp;D105&amp;"|"&amp;E105</f>
        <v/>
      </c>
      <c r="G105" s="63" t="n">
        <v>117.4</v>
      </c>
      <c r="H105" s="63" t="n">
        <v>73.59999999999999</v>
      </c>
      <c r="I105" s="63" t="n">
        <v>78.2</v>
      </c>
      <c r="J105" s="63" t="n">
        <v>104.1</v>
      </c>
      <c r="K105" s="63" t="n">
        <v>108.1</v>
      </c>
      <c r="L105" s="64">
        <f>IF(COUNT(G105:K105)=0,"",MEDIAN(G105:K105))</f>
        <v/>
      </c>
      <c r="M105" s="65">
        <f>IF(COUNT(G105:K105)=0,"",MIN(G105:K105))</f>
        <v/>
      </c>
      <c r="N105" s="65">
        <f>IF(COUNT(G105:K105)=0,"",MAX(G105:K105))</f>
        <v/>
      </c>
      <c r="O105" s="45">
        <f>IF(COUNT(G105:K105)&lt;2,"",IF(L105=0,"",(N105-M105)/L105))</f>
        <v/>
      </c>
      <c r="P105" s="5" t="inlineStr">
        <is>
          <t>open + 8 s</t>
        </is>
      </c>
    </row>
    <row r="106">
      <c r="A106" s="6" t="inlineStr">
        <is>
          <t>L15</t>
        </is>
      </c>
      <c r="B106" s="6" t="inlineStr">
        <is>
          <t>Data per Watchlist tab &gt; Bench 20 open (received + sent, open + 8 s)</t>
        </is>
      </c>
      <c r="C106" s="6" t="inlineStr">
        <is>
          <t>KB</t>
        </is>
      </c>
      <c r="D106" s="6" t="inlineStr">
        <is>
          <t>Angel One</t>
        </is>
      </c>
      <c r="E106" s="6" t="inlineStr">
        <is>
          <t>OPPO CPH3009</t>
        </is>
      </c>
      <c r="F106" s="41">
        <f>A106&amp;"|"&amp;D106&amp;"|"&amp;E106</f>
        <v/>
      </c>
      <c r="G106" s="63" t="n">
        <v>108.5</v>
      </c>
      <c r="H106" s="63" t="n">
        <v>64.2</v>
      </c>
      <c r="I106" s="63" t="n">
        <v>97.2</v>
      </c>
      <c r="J106" s="63" t="n">
        <v>412.7</v>
      </c>
      <c r="K106" s="63" t="n">
        <v>39</v>
      </c>
      <c r="L106" s="64">
        <f>IF(COUNT(G106:K106)=0,"",MEDIAN(G106:K106))</f>
        <v/>
      </c>
      <c r="M106" s="65">
        <f>IF(COUNT(G106:K106)=0,"",MIN(G106:K106))</f>
        <v/>
      </c>
      <c r="N106" s="65">
        <f>IF(COUNT(G106:K106)=0,"",MAX(G106:K106))</f>
        <v/>
      </c>
      <c r="O106" s="45">
        <f>IF(COUNT(G106:K106)&lt;2,"",IF(L106=0,"",(N106-M106)/L106))</f>
        <v/>
      </c>
      <c r="P106" s="5" t="inlineStr">
        <is>
          <t>open + 8 s</t>
        </is>
      </c>
    </row>
    <row r="107">
      <c r="A107" s="6" t="inlineStr">
        <is>
          <t>L15</t>
        </is>
      </c>
      <c r="B107" s="6" t="inlineStr">
        <is>
          <t>Data per Watchlist tab &gt; Bench 20 open (received + sent, open + 8 s)</t>
        </is>
      </c>
      <c r="C107" s="6" t="inlineStr">
        <is>
          <t>KB</t>
        </is>
      </c>
      <c r="D107" s="6" t="inlineStr">
        <is>
          <t>INDmoney</t>
        </is>
      </c>
      <c r="E107" s="6" t="inlineStr">
        <is>
          <t>OPPO CPH3009</t>
        </is>
      </c>
      <c r="F107" s="41">
        <f>A107&amp;"|"&amp;D107&amp;"|"&amp;E107</f>
        <v/>
      </c>
      <c r="G107" s="63" t="n">
        <v>544.2</v>
      </c>
      <c r="H107" s="63" t="n">
        <v>410</v>
      </c>
      <c r="I107" s="63" t="n">
        <v>721.5</v>
      </c>
      <c r="J107" s="63" t="n">
        <v>370.3</v>
      </c>
      <c r="K107" s="63" t="n">
        <v>552.3</v>
      </c>
      <c r="L107" s="64">
        <f>IF(COUNT(G107:K107)=0,"",MEDIAN(G107:K107))</f>
        <v/>
      </c>
      <c r="M107" s="65">
        <f>IF(COUNT(G107:K107)=0,"",MIN(G107:K107))</f>
        <v/>
      </c>
      <c r="N107" s="65">
        <f>IF(COUNT(G107:K107)=0,"",MAX(G107:K107))</f>
        <v/>
      </c>
      <c r="O107" s="45">
        <f>IF(COUNT(G107:K107)&lt;2,"",IF(L107=0,"",(N107-M107)/L107))</f>
        <v/>
      </c>
      <c r="P107" s="5" t="inlineStr">
        <is>
          <t>open + 8 s</t>
        </is>
      </c>
    </row>
    <row r="108">
      <c r="A108" s="6" t="inlineStr">
        <is>
          <t>L15</t>
        </is>
      </c>
      <c r="B108" s="6" t="inlineStr">
        <is>
          <t>Data per Watchlist tab &gt; Bench 20 open (received + sent, open + 8 s)</t>
        </is>
      </c>
      <c r="C108" s="6" t="inlineStr">
        <is>
          <t>KB</t>
        </is>
      </c>
      <c r="D108" s="6" t="inlineStr">
        <is>
          <t>Kotak Neo</t>
        </is>
      </c>
      <c r="E108" s="6" t="inlineStr">
        <is>
          <t>OPPO CPH3009</t>
        </is>
      </c>
      <c r="F108" s="41">
        <f>A108&amp;"|"&amp;D108&amp;"|"&amp;E108</f>
        <v/>
      </c>
      <c r="G108" s="63" t="n">
        <v>197.2</v>
      </c>
      <c r="H108" s="63" t="n">
        <v>25.2</v>
      </c>
      <c r="I108" s="63" t="n">
        <v>28.7</v>
      </c>
      <c r="J108" s="63" t="n">
        <v>18.6</v>
      </c>
      <c r="K108" s="63" t="n">
        <v>19.6</v>
      </c>
      <c r="L108" s="64">
        <f>IF(COUNT(G108:K108)=0,"",MEDIAN(G108:K108))</f>
        <v/>
      </c>
      <c r="M108" s="65">
        <f>IF(COUNT(G108:K108)=0,"",MIN(G108:K108))</f>
        <v/>
      </c>
      <c r="N108" s="65">
        <f>IF(COUNT(G108:K108)=0,"",MAX(G108:K108))</f>
        <v/>
      </c>
      <c r="O108" s="45">
        <f>IF(COUNT(G108:K108)&lt;2,"",IF(L108=0,"",(N108-M108)/L108))</f>
        <v/>
      </c>
      <c r="P108" s="5" t="inlineStr">
        <is>
          <t>open + 8 s</t>
        </is>
      </c>
    </row>
    <row r="109">
      <c r="A109" s="6" t="inlineStr">
        <is>
          <t>L15</t>
        </is>
      </c>
      <c r="B109" s="6" t="inlineStr">
        <is>
          <t>Data per Watchlist tab &gt; Bench 20 open (received + sent, open + 8 s)</t>
        </is>
      </c>
      <c r="C109" s="6" t="inlineStr">
        <is>
          <t>KB</t>
        </is>
      </c>
      <c r="D109" s="6" t="inlineStr">
        <is>
          <t>SAHI</t>
        </is>
      </c>
      <c r="E109" s="6" t="inlineStr">
        <is>
          <t>OPPO CPH3009</t>
        </is>
      </c>
      <c r="F109" s="41">
        <f>A109&amp;"|"&amp;D109&amp;"|"&amp;E109</f>
        <v/>
      </c>
      <c r="G109" s="63" t="n">
        <v>28.8</v>
      </c>
      <c r="H109" s="63" t="n">
        <v>21.5</v>
      </c>
      <c r="I109" s="63" t="n">
        <v>21.5</v>
      </c>
      <c r="J109" s="63" t="n">
        <v>22.7</v>
      </c>
      <c r="K109" s="63" t="n">
        <v>28.6</v>
      </c>
      <c r="L109" s="64">
        <f>IF(COUNT(G109:K109)=0,"",MEDIAN(G109:K109))</f>
        <v/>
      </c>
      <c r="M109" s="65">
        <f>IF(COUNT(G109:K109)=0,"",MIN(G109:K109))</f>
        <v/>
      </c>
      <c r="N109" s="65">
        <f>IF(COUNT(G109:K109)=0,"",MAX(G109:K109))</f>
        <v/>
      </c>
      <c r="O109" s="45">
        <f>IF(COUNT(G109:K109)&lt;2,"",IF(L109=0,"",(N109-M109)/L109))</f>
        <v/>
      </c>
      <c r="P109" s="5" t="inlineStr">
        <is>
          <t>open + 8 s</t>
        </is>
      </c>
    </row>
  </sheetData>
  <autoFilter ref="A4:P109"/>
  <conditionalFormatting sqref="O5:O109">
    <cfRule type="cellIs" priority="1" operator="greaterThan" dxfId="4">
      <formula>0.2</formula>
    </cfRule>
  </conditionalFormatting>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showDropDown="0" showInputMessage="0" showErrorMessage="1" allowBlank="1" error="Enter a number (no units)." type="decimal"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tabColor rgb="00FFC000"/>
    <outlinePr summaryBelow="1" summaryRight="1"/>
    <pageSetUpPr/>
  </sheetPr>
  <dimension ref="A1:P53"/>
  <sheetViews>
    <sheetView showGridLines="0" workbookViewId="0">
      <pane xSplit="6" ySplit="4" topLeftCell="G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6" customWidth="1" min="2" max="2"/>
    <col width="7" customWidth="1" min="3" max="3"/>
    <col width="13" customWidth="1" min="4" max="4"/>
    <col width="22" customWidth="1" min="5" max="5"/>
    <col width="14" customWidth="1" min="6" max="6"/>
    <col width="9" customWidth="1" min="7" max="7"/>
    <col width="9" customWidth="1" min="8" max="8"/>
    <col width="9" customWidth="1" min="9" max="9"/>
    <col width="9" customWidth="1" min="10" max="10"/>
    <col width="9" customWidth="1" min="11" max="11"/>
    <col width="10" customWidth="1" min="12" max="12"/>
    <col width="9" customWidth="1" min="13" max="13"/>
    <col width="9" customWidth="1" min="14" max="14"/>
    <col width="10" customWidth="1" min="15" max="15"/>
    <col width="36" customWidth="1" min="16" max="16"/>
  </cols>
  <sheetData>
    <row r="1">
      <c r="A1" s="1" t="inlineStr">
        <is>
          <t>2 Scroll FPS</t>
        </is>
      </c>
    </row>
    <row r="2">
      <c r="A2" s="2" t="inlineStr">
        <is>
          <t>Scrolling smoothness on Bench 20 symbols (20 stocks, A–Z) and gesture jank. Perfetto FrameTimeline for every app (bench.py).</t>
        </is>
      </c>
    </row>
    <row r="4" ht="32" customHeight="1">
      <c r="A4" s="10" t="inlineStr">
        <is>
          <t>ID</t>
        </is>
      </c>
      <c r="B4" s="10" t="inlineStr">
        <is>
          <t>Metric</t>
        </is>
      </c>
      <c r="C4" s="10" t="inlineStr">
        <is>
          <t>Unit</t>
        </is>
      </c>
      <c r="D4" s="10" t="inlineStr">
        <is>
          <t>App</t>
        </is>
      </c>
      <c r="E4" s="10" t="inlineStr">
        <is>
          <t>Device</t>
        </is>
      </c>
      <c r="F4" s="10" t="inlineStr">
        <is>
          <t>Lookup key</t>
        </is>
      </c>
      <c r="G4" s="10" t="inlineStr">
        <is>
          <t>Run 1</t>
        </is>
      </c>
      <c r="H4" s="10" t="inlineStr">
        <is>
          <t>Run 2</t>
        </is>
      </c>
      <c r="I4" s="10" t="inlineStr">
        <is>
          <t>Run 3</t>
        </is>
      </c>
      <c r="J4" s="10" t="inlineStr">
        <is>
          <t>Run 4</t>
        </is>
      </c>
      <c r="K4" s="10" t="inlineStr">
        <is>
          <t>Run 5</t>
        </is>
      </c>
      <c r="L4" s="10" t="inlineStr">
        <is>
          <t>Median</t>
        </is>
      </c>
      <c r="M4" s="10" t="inlineStr">
        <is>
          <t>Min</t>
        </is>
      </c>
      <c r="N4" s="10" t="inlineStr">
        <is>
          <t>Max</t>
        </is>
      </c>
      <c r="O4" s="10" t="inlineStr">
        <is>
          <t>Variation</t>
        </is>
      </c>
      <c r="P4" s="10" t="inlineStr">
        <is>
          <t>Notes</t>
        </is>
      </c>
    </row>
    <row r="5">
      <c r="A5" s="8" t="inlineStr">
        <is>
          <t>S1</t>
        </is>
      </c>
      <c r="B5" s="8" t="inlineStr">
        <is>
          <t>Janky frames while scrolling Bench 20 symbols (20 stocks, A–Z) (Medium account)</t>
        </is>
      </c>
      <c r="C5" s="8" t="inlineStr">
        <is>
          <t>%</t>
        </is>
      </c>
      <c r="D5" s="8" t="inlineStr">
        <is>
          <t>RISE</t>
        </is>
      </c>
      <c r="E5" s="8" t="inlineStr">
        <is>
          <t>OPPO CPH3009</t>
        </is>
      </c>
      <c r="F5" s="41">
        <f>A5&amp;"|"&amp;D5&amp;"|"&amp;E5</f>
        <v/>
      </c>
      <c r="G5" s="63" t="n">
        <v>0.59</v>
      </c>
      <c r="H5" s="63" t="n">
        <v>0.41</v>
      </c>
      <c r="I5" s="63" t="n">
        <v>0.34</v>
      </c>
      <c r="J5" s="63" t="n">
        <v>0.33</v>
      </c>
      <c r="K5" s="63" t="n">
        <v>0.33</v>
      </c>
      <c r="L5" s="64">
        <f>IF(COUNT(G5:K5)=0,"",MEDIAN(G5:K5))</f>
        <v/>
      </c>
      <c r="M5" s="65">
        <f>IF(COUNT(G5:K5)=0,"",MIN(G5:K5))</f>
        <v/>
      </c>
      <c r="N5" s="65">
        <f>IF(COUNT(G5:K5)=0,"",MAX(G5:K5))</f>
        <v/>
      </c>
      <c r="O5" s="45">
        <f>IF(COUNT(G5:K5)&lt;2,"",IF(L5=0,"",(N5-M5)/L5))</f>
        <v/>
      </c>
      <c r="P5" s="5" t="inlineStr">
        <is>
          <t>(1190 frames, layer TX - VRI-com.mosl.mobile/com.mosl.mobile.MainActivity#14055) | (1190 frames, layer TX - VRI-com.mosl.mobile/com.mosl.mobile.MainActivity#15284) | (1201 frames, layer TX - VRI-com.mosl.mobile/com.mosl.mobile.MainActivity#15868) | (</t>
        </is>
      </c>
    </row>
    <row r="6">
      <c r="A6" s="6" t="inlineStr">
        <is>
          <t>S1</t>
        </is>
      </c>
      <c r="B6" s="6" t="inlineStr">
        <is>
          <t>Janky frames while scrolling Bench 20 symbols (20 stocks, A–Z) (Medium account)</t>
        </is>
      </c>
      <c r="C6" s="6" t="inlineStr">
        <is>
          <t>%</t>
        </is>
      </c>
      <c r="D6" s="6" t="inlineStr">
        <is>
          <t>Kite</t>
        </is>
      </c>
      <c r="E6" s="6" t="inlineStr">
        <is>
          <t>OPPO CPH3009</t>
        </is>
      </c>
      <c r="F6" s="41">
        <f>A6&amp;"|"&amp;D6&amp;"|"&amp;E6</f>
        <v/>
      </c>
      <c r="G6" s="63" t="n"/>
      <c r="H6" s="63" t="n"/>
      <c r="I6" s="63" t="n"/>
      <c r="J6" s="63" t="n"/>
      <c r="K6" s="63" t="n"/>
      <c r="L6" s="64">
        <f>IF(COUNT(G6:K6)=0,"",MEDIAN(G6:K6))</f>
        <v/>
      </c>
      <c r="M6" s="65">
        <f>IF(COUNT(G6:K6)=0,"",MIN(G6:K6))</f>
        <v/>
      </c>
      <c r="N6" s="65">
        <f>IF(COUNT(G6:K6)=0,"",MAX(G6:K6))</f>
        <v/>
      </c>
      <c r="O6" s="45">
        <f>IF(COUNT(G6:K6)&lt;2,"",IF(L6=0,"",(N6-M6)/L6))</f>
        <v/>
      </c>
      <c r="P6" s="5" t="inlineStr">
        <is>
          <t>no frames from the app; was Bench 20 symbols (20 stocks, A–Z) on screen?</t>
        </is>
      </c>
    </row>
    <row r="7">
      <c r="A7" s="6" t="inlineStr">
        <is>
          <t>S1</t>
        </is>
      </c>
      <c r="B7" s="6" t="inlineStr">
        <is>
          <t>Janky frames while scrolling Bench 20 symbols (20 stocks, A–Z) (Medium account)</t>
        </is>
      </c>
      <c r="C7" s="6" t="inlineStr">
        <is>
          <t>%</t>
        </is>
      </c>
      <c r="D7" s="6" t="inlineStr">
        <is>
          <t>Groww</t>
        </is>
      </c>
      <c r="E7" s="6" t="inlineStr">
        <is>
          <t>OPPO CPH3009</t>
        </is>
      </c>
      <c r="F7" s="41">
        <f>A7&amp;"|"&amp;D7&amp;"|"&amp;E7</f>
        <v/>
      </c>
      <c r="G7" s="63" t="n">
        <v>0.28</v>
      </c>
      <c r="H7" s="63" t="n">
        <v>0.21</v>
      </c>
      <c r="I7" s="63" t="n">
        <v>0.35</v>
      </c>
      <c r="J7" s="63" t="n">
        <v>0.21</v>
      </c>
      <c r="K7" s="63" t="n">
        <v>0.21</v>
      </c>
      <c r="L7" s="64">
        <f>IF(COUNT(G7:K7)=0,"",MEDIAN(G7:K7))</f>
        <v/>
      </c>
      <c r="M7" s="65">
        <f>IF(COUNT(G7:K7)=0,"",MIN(G7:K7))</f>
        <v/>
      </c>
      <c r="N7" s="65">
        <f>IF(COUNT(G7:K7)=0,"",MAX(G7:K7))</f>
        <v/>
      </c>
      <c r="O7" s="45">
        <f>IF(COUNT(G7:K7)&lt;2,"",IF(L7=0,"",(N7-M7)/L7))</f>
        <v/>
      </c>
      <c r="P7" s="5" t="inlineStr">
        <is>
          <t>(1436 frames, layer TX - VRI-com.nextbillion.groww/com.nextbillion.groww.genesys) | (1437 frames, layer TX - VRI-com.nextbillion.groww/com.nextbillion.groww.genesys) | (1438 frames, layer TX - VRI-com.nextbillion.groww/com.nextbillion.groww.genesys)</t>
        </is>
      </c>
    </row>
    <row r="8">
      <c r="A8" s="6" t="inlineStr">
        <is>
          <t>S1</t>
        </is>
      </c>
      <c r="B8" s="6" t="inlineStr">
        <is>
          <t>Janky frames while scrolling Bench 20 symbols (20 stocks, A–Z) (Medium account)</t>
        </is>
      </c>
      <c r="C8" s="6" t="inlineStr">
        <is>
          <t>%</t>
        </is>
      </c>
      <c r="D8" s="6" t="inlineStr">
        <is>
          <t>Angel One</t>
        </is>
      </c>
      <c r="E8" s="6" t="inlineStr">
        <is>
          <t>OPPO CPH3009</t>
        </is>
      </c>
      <c r="F8" s="41">
        <f>A8&amp;"|"&amp;D8&amp;"|"&amp;E8</f>
        <v/>
      </c>
      <c r="G8" s="63" t="n">
        <v>0.5600000000000001</v>
      </c>
      <c r="H8" s="63" t="n">
        <v>0.41</v>
      </c>
      <c r="I8" s="63" t="n">
        <v>1.04</v>
      </c>
      <c r="J8" s="63" t="n">
        <v>0.75</v>
      </c>
      <c r="K8" s="63" t="n">
        <v>0.39</v>
      </c>
      <c r="L8" s="64">
        <f>IF(COUNT(G8:K8)=0,"",MEDIAN(G8:K8))</f>
        <v/>
      </c>
      <c r="M8" s="65">
        <f>IF(COUNT(G8:K8)=0,"",MIN(G8:K8))</f>
        <v/>
      </c>
      <c r="N8" s="65">
        <f>IF(COUNT(G8:K8)=0,"",MAX(G8:K8))</f>
        <v/>
      </c>
      <c r="O8" s="45">
        <f>IF(COUNT(G8:K8)&lt;2,"",IF(L8=0,"",(N8-M8)/L8))</f>
        <v/>
      </c>
      <c r="P8" s="5" t="inlineStr">
        <is>
          <t>(480 frames, layer TX - VRI-com.msf.angelmobile/com.angelbroking.spark.common.M) | (487 frames, layer TX - VRI-com.msf.angelmobile/com.angelbroking.spark.common.M) | (509 frames, layer TX - VRI-com.msf.angelmobile/com.angelbroking.spark.common.M) | (</t>
        </is>
      </c>
    </row>
    <row r="9">
      <c r="A9" s="6" t="inlineStr">
        <is>
          <t>S1</t>
        </is>
      </c>
      <c r="B9" s="6" t="inlineStr">
        <is>
          <t>Janky frames while scrolling Bench 20 symbols (20 stocks, A–Z) (Medium account)</t>
        </is>
      </c>
      <c r="C9" s="6" t="inlineStr">
        <is>
          <t>%</t>
        </is>
      </c>
      <c r="D9" s="6" t="inlineStr">
        <is>
          <t>INDmoney</t>
        </is>
      </c>
      <c r="E9" s="6" t="inlineStr">
        <is>
          <t>OPPO CPH3009</t>
        </is>
      </c>
      <c r="F9" s="41">
        <f>A9&amp;"|"&amp;D9&amp;"|"&amp;E9</f>
        <v/>
      </c>
      <c r="G9" s="63" t="n">
        <v>0.38</v>
      </c>
      <c r="H9" s="63" t="n">
        <v>0.45</v>
      </c>
      <c r="I9" s="63" t="n">
        <v>0.92</v>
      </c>
      <c r="J9" s="63" t="n">
        <v>0.45</v>
      </c>
      <c r="K9" s="63" t="n">
        <v>0.67</v>
      </c>
      <c r="L9" s="64">
        <f>IF(COUNT(G9:K9)=0,"",MEDIAN(G9:K9))</f>
        <v/>
      </c>
      <c r="M9" s="65">
        <f>IF(COUNT(G9:K9)=0,"",MIN(G9:K9))</f>
        <v/>
      </c>
      <c r="N9" s="65">
        <f>IF(COUNT(G9:K9)=0,"",MAX(G9:K9))</f>
        <v/>
      </c>
      <c r="O9" s="45">
        <f>IF(COUNT(G9:K9)&lt;2,"",IF(L9=0,"",(N9-M9)/L9))</f>
        <v/>
      </c>
      <c r="P9" s="5" t="inlineStr">
        <is>
          <t xml:space="preserve">(1306 frames, layer TX - VRI-in.indwealth/com.indwealth.android.ui.home.HomeActi) | (1309 frames, layer TX - VRI-in.indwealth/com.indwealth.android.ui.home.HomeActi) | (1329 frames, layer TX - VRI-in.indwealth/com.indwealth.android.ui.home.HomeActi) </t>
        </is>
      </c>
    </row>
    <row r="10">
      <c r="A10" s="6" t="inlineStr">
        <is>
          <t>S1</t>
        </is>
      </c>
      <c r="B10" s="6" t="inlineStr">
        <is>
          <t>Janky frames while scrolling Bench 20 symbols (20 stocks, A–Z) (Medium account)</t>
        </is>
      </c>
      <c r="C10" s="6" t="inlineStr">
        <is>
          <t>%</t>
        </is>
      </c>
      <c r="D10" s="6" t="inlineStr">
        <is>
          <t>Kotak Neo</t>
        </is>
      </c>
      <c r="E10" s="6" t="inlineStr">
        <is>
          <t>OPPO CPH3009</t>
        </is>
      </c>
      <c r="F10" s="41">
        <f>A10&amp;"|"&amp;D10&amp;"|"&amp;E10</f>
        <v/>
      </c>
      <c r="G10" s="63" t="n"/>
      <c r="H10" s="63" t="n"/>
      <c r="I10" s="63" t="n"/>
      <c r="J10" s="63" t="n"/>
      <c r="K10" s="63" t="n"/>
      <c r="L10" s="64">
        <f>IF(COUNT(G10:K10)=0,"",MEDIAN(G10:K10))</f>
        <v/>
      </c>
      <c r="M10" s="65">
        <f>IF(COUNT(G10:K10)=0,"",MIN(G10:K10))</f>
        <v/>
      </c>
      <c r="N10" s="65">
        <f>IF(COUNT(G10:K10)=0,"",MAX(G10:K10))</f>
        <v/>
      </c>
      <c r="O10" s="45">
        <f>IF(COUNT(G10:K10)&lt;2,"",IF(L10=0,"",(N10-M10)/L10))</f>
        <v/>
      </c>
      <c r="P10" s="5" t="inlineStr">
        <is>
          <t>no frames from the app; was Bench 20 symbols (20 stocks, A–Z) on screen?</t>
        </is>
      </c>
    </row>
    <row r="11">
      <c r="A11" s="6" t="inlineStr">
        <is>
          <t>S1</t>
        </is>
      </c>
      <c r="B11" s="6" t="inlineStr">
        <is>
          <t>Janky frames while scrolling Bench 20 symbols (20 stocks, A–Z) (Medium account)</t>
        </is>
      </c>
      <c r="C11" s="6" t="inlineStr">
        <is>
          <t>%</t>
        </is>
      </c>
      <c r="D11" s="6" t="inlineStr">
        <is>
          <t>SAHI</t>
        </is>
      </c>
      <c r="E11" s="6" t="inlineStr">
        <is>
          <t>OPPO CPH3009</t>
        </is>
      </c>
      <c r="F11" s="41">
        <f>A11&amp;"|"&amp;D11&amp;"|"&amp;E11</f>
        <v/>
      </c>
      <c r="G11" s="63" t="n"/>
      <c r="H11" s="63" t="n"/>
      <c r="I11" s="63" t="n"/>
      <c r="J11" s="63" t="n"/>
      <c r="K11" s="63" t="n"/>
      <c r="L11" s="64">
        <f>IF(COUNT(G11:K11)=0,"",MEDIAN(G11:K11))</f>
        <v/>
      </c>
      <c r="M11" s="65">
        <f>IF(COUNT(G11:K11)=0,"",MIN(G11:K11))</f>
        <v/>
      </c>
      <c r="N11" s="65">
        <f>IF(COUNT(G11:K11)=0,"",MAX(G11:K11))</f>
        <v/>
      </c>
      <c r="O11" s="45">
        <f>IF(COUNT(G11:K11)&lt;2,"",IF(L11=0,"",(N11-M11)/L11))</f>
        <v/>
      </c>
      <c r="P11" s="5" t="inlineStr">
        <is>
          <t>no frames from the app; was Bench 20 symbols (20 stocks, A–Z) on screen?</t>
        </is>
      </c>
    </row>
    <row r="12">
      <c r="A12" s="8" t="inlineStr">
        <is>
          <t>S2</t>
        </is>
      </c>
      <c r="B12" s="8" t="inlineStr">
        <is>
          <t>Frame duration – 50th percentile</t>
        </is>
      </c>
      <c r="C12" s="8" t="inlineStr">
        <is>
          <t>ms</t>
        </is>
      </c>
      <c r="D12" s="8" t="inlineStr">
        <is>
          <t>RISE</t>
        </is>
      </c>
      <c r="E12" s="8" t="inlineStr">
        <is>
          <t>OPPO CPH3009</t>
        </is>
      </c>
      <c r="F12" s="41">
        <f>A12&amp;"|"&amp;D12&amp;"|"&amp;E12</f>
        <v/>
      </c>
      <c r="G12" s="63" t="n">
        <v>6.3</v>
      </c>
      <c r="H12" s="63" t="n">
        <v>6.3</v>
      </c>
      <c r="I12" s="63" t="n">
        <v>6.3</v>
      </c>
      <c r="J12" s="63" t="n">
        <v>6.3</v>
      </c>
      <c r="K12" s="63" t="n">
        <v>6.3</v>
      </c>
      <c r="L12" s="64">
        <f>IF(COUNT(G12:K12)=0,"",MEDIAN(G12:K12))</f>
        <v/>
      </c>
      <c r="M12" s="65">
        <f>IF(COUNT(G12:K12)=0,"",MIN(G12:K12))</f>
        <v/>
      </c>
      <c r="N12" s="65">
        <f>IF(COUNT(G12:K12)=0,"",MAX(G12:K12))</f>
        <v/>
      </c>
      <c r="O12" s="45">
        <f>IF(COUNT(G12:K12)&lt;2,"",IF(L12=0,"",(N12-M12)/L12))</f>
        <v/>
      </c>
      <c r="P12" s="5" t="n"/>
    </row>
    <row r="13">
      <c r="A13" s="46" t="inlineStr">
        <is>
          <t>S2</t>
        </is>
      </c>
      <c r="B13" s="46" t="inlineStr">
        <is>
          <t>Frame duration – 50th percentile</t>
        </is>
      </c>
      <c r="C13" s="46" t="inlineStr">
        <is>
          <t>ms</t>
        </is>
      </c>
      <c r="D13" s="46" t="inlineStr">
        <is>
          <t>Kite</t>
        </is>
      </c>
      <c r="E13" s="46" t="inlineStr">
        <is>
          <t>OPPO CPH3009</t>
        </is>
      </c>
      <c r="F13" s="41">
        <f>A13&amp;"|"&amp;D13&amp;"|"&amp;E13</f>
        <v/>
      </c>
      <c r="G13" s="63" t="n"/>
      <c r="H13" s="63" t="n"/>
      <c r="I13" s="63" t="n"/>
      <c r="J13" s="63" t="n"/>
      <c r="K13" s="63" t="n"/>
      <c r="L13" s="64">
        <f>IF(COUNT(G13:K13)=0,"",MEDIAN(G13:K13))</f>
        <v/>
      </c>
      <c r="M13" s="65">
        <f>IF(COUNT(G13:K13)=0,"",MIN(G13:K13))</f>
        <v/>
      </c>
      <c r="N13" s="65">
        <f>IF(COUNT(G13:K13)=0,"",MAX(G13:K13))</f>
        <v/>
      </c>
      <c r="O13" s="45">
        <f>IF(COUNT(G13:K13)&lt;2,"",IF(L13=0,"",(N13-M13)/L13))</f>
        <v/>
      </c>
      <c r="P13" s="5" t="inlineStr">
        <is>
          <t>no frames from the app; was Bench 20 symbols (20 stocks, A–Z) on screen?</t>
        </is>
      </c>
    </row>
    <row r="14">
      <c r="A14" s="46" t="inlineStr">
        <is>
          <t>S2</t>
        </is>
      </c>
      <c r="B14" s="46" t="inlineStr">
        <is>
          <t>Frame duration – 50th percentile</t>
        </is>
      </c>
      <c r="C14" s="46" t="inlineStr">
        <is>
          <t>ms</t>
        </is>
      </c>
      <c r="D14" s="46" t="inlineStr">
        <is>
          <t>Groww</t>
        </is>
      </c>
      <c r="E14" s="46" t="inlineStr">
        <is>
          <t>OPPO CPH3009</t>
        </is>
      </c>
      <c r="F14" s="41">
        <f>A14&amp;"|"&amp;D14&amp;"|"&amp;E14</f>
        <v/>
      </c>
      <c r="G14" s="63" t="n">
        <v>11.3</v>
      </c>
      <c r="H14" s="63" t="n">
        <v>11.4</v>
      </c>
      <c r="I14" s="63" t="n">
        <v>11.1</v>
      </c>
      <c r="J14" s="63" t="n">
        <v>11.3</v>
      </c>
      <c r="K14" s="63" t="n">
        <v>11.2</v>
      </c>
      <c r="L14" s="64">
        <f>IF(COUNT(G14:K14)=0,"",MEDIAN(G14:K14))</f>
        <v/>
      </c>
      <c r="M14" s="65">
        <f>IF(COUNT(G14:K14)=0,"",MIN(G14:K14))</f>
        <v/>
      </c>
      <c r="N14" s="65">
        <f>IF(COUNT(G14:K14)=0,"",MAX(G14:K14))</f>
        <v/>
      </c>
      <c r="O14" s="45">
        <f>IF(COUNT(G14:K14)&lt;2,"",IF(L14=0,"",(N14-M14)/L14))</f>
        <v/>
      </c>
      <c r="P14" s="5" t="n"/>
    </row>
    <row r="15">
      <c r="A15" s="46" t="inlineStr">
        <is>
          <t>S2</t>
        </is>
      </c>
      <c r="B15" s="46" t="inlineStr">
        <is>
          <t>Frame duration – 50th percentile</t>
        </is>
      </c>
      <c r="C15" s="46" t="inlineStr">
        <is>
          <t>ms</t>
        </is>
      </c>
      <c r="D15" s="46" t="inlineStr">
        <is>
          <t>Angel One</t>
        </is>
      </c>
      <c r="E15" s="46" t="inlineStr">
        <is>
          <t>OPPO CPH3009</t>
        </is>
      </c>
      <c r="F15" s="41">
        <f>A15&amp;"|"&amp;D15&amp;"|"&amp;E15</f>
        <v/>
      </c>
      <c r="G15" s="63" t="n">
        <v>5</v>
      </c>
      <c r="H15" s="63" t="n">
        <v>5.4</v>
      </c>
      <c r="I15" s="63" t="n">
        <v>4.8</v>
      </c>
      <c r="J15" s="63" t="n">
        <v>5.3</v>
      </c>
      <c r="K15" s="63" t="n">
        <v>5.4</v>
      </c>
      <c r="L15" s="64">
        <f>IF(COUNT(G15:K15)=0,"",MEDIAN(G15:K15))</f>
        <v/>
      </c>
      <c r="M15" s="65">
        <f>IF(COUNT(G15:K15)=0,"",MIN(G15:K15))</f>
        <v/>
      </c>
      <c r="N15" s="65">
        <f>IF(COUNT(G15:K15)=0,"",MAX(G15:K15))</f>
        <v/>
      </c>
      <c r="O15" s="45">
        <f>IF(COUNT(G15:K15)&lt;2,"",IF(L15=0,"",(N15-M15)/L15))</f>
        <v/>
      </c>
      <c r="P15" s="5" t="n"/>
    </row>
    <row r="16">
      <c r="A16" s="46" t="inlineStr">
        <is>
          <t>S2</t>
        </is>
      </c>
      <c r="B16" s="46" t="inlineStr">
        <is>
          <t>Frame duration – 50th percentile</t>
        </is>
      </c>
      <c r="C16" s="46" t="inlineStr">
        <is>
          <t>ms</t>
        </is>
      </c>
      <c r="D16" s="46" t="inlineStr">
        <is>
          <t>INDmoney</t>
        </is>
      </c>
      <c r="E16" s="46" t="inlineStr">
        <is>
          <t>OPPO CPH3009</t>
        </is>
      </c>
      <c r="F16" s="41">
        <f>A16&amp;"|"&amp;D16&amp;"|"&amp;E16</f>
        <v/>
      </c>
      <c r="G16" s="63" t="n">
        <v>8.5</v>
      </c>
      <c r="H16" s="63" t="n">
        <v>8.5</v>
      </c>
      <c r="I16" s="63" t="n">
        <v>9.199999999999999</v>
      </c>
      <c r="J16" s="63" t="n">
        <v>8.5</v>
      </c>
      <c r="K16" s="63" t="n">
        <v>8.6</v>
      </c>
      <c r="L16" s="64">
        <f>IF(COUNT(G16:K16)=0,"",MEDIAN(G16:K16))</f>
        <v/>
      </c>
      <c r="M16" s="65">
        <f>IF(COUNT(G16:K16)=0,"",MIN(G16:K16))</f>
        <v/>
      </c>
      <c r="N16" s="65">
        <f>IF(COUNT(G16:K16)=0,"",MAX(G16:K16))</f>
        <v/>
      </c>
      <c r="O16" s="45">
        <f>IF(COUNT(G16:K16)&lt;2,"",IF(L16=0,"",(N16-M16)/L16))</f>
        <v/>
      </c>
      <c r="P16" s="5" t="n"/>
    </row>
    <row r="17">
      <c r="A17" s="46" t="inlineStr">
        <is>
          <t>S2</t>
        </is>
      </c>
      <c r="B17" s="46" t="inlineStr">
        <is>
          <t>Frame duration – 50th percentile</t>
        </is>
      </c>
      <c r="C17" s="46" t="inlineStr">
        <is>
          <t>ms</t>
        </is>
      </c>
      <c r="D17" s="46" t="inlineStr">
        <is>
          <t>Kotak Neo</t>
        </is>
      </c>
      <c r="E17" s="46" t="inlineStr">
        <is>
          <t>OPPO CPH3009</t>
        </is>
      </c>
      <c r="F17" s="41">
        <f>A17&amp;"|"&amp;D17&amp;"|"&amp;E17</f>
        <v/>
      </c>
      <c r="G17" s="63" t="n"/>
      <c r="H17" s="63" t="n"/>
      <c r="I17" s="63" t="n"/>
      <c r="J17" s="63" t="n"/>
      <c r="K17" s="63" t="n"/>
      <c r="L17" s="64">
        <f>IF(COUNT(G17:K17)=0,"",MEDIAN(G17:K17))</f>
        <v/>
      </c>
      <c r="M17" s="65">
        <f>IF(COUNT(G17:K17)=0,"",MIN(G17:K17))</f>
        <v/>
      </c>
      <c r="N17" s="65">
        <f>IF(COUNT(G17:K17)=0,"",MAX(G17:K17))</f>
        <v/>
      </c>
      <c r="O17" s="45">
        <f>IF(COUNT(G17:K17)&lt;2,"",IF(L17=0,"",(N17-M17)/L17))</f>
        <v/>
      </c>
      <c r="P17" s="5" t="inlineStr">
        <is>
          <t>no frames from the app; was Bench 20 symbols (20 stocks, A–Z) on screen?</t>
        </is>
      </c>
    </row>
    <row r="18">
      <c r="A18" s="46" t="inlineStr">
        <is>
          <t>S2</t>
        </is>
      </c>
      <c r="B18" s="46" t="inlineStr">
        <is>
          <t>Frame duration – 50th percentile</t>
        </is>
      </c>
      <c r="C18" s="46" t="inlineStr">
        <is>
          <t>ms</t>
        </is>
      </c>
      <c r="D18" s="46" t="inlineStr">
        <is>
          <t>SAHI</t>
        </is>
      </c>
      <c r="E18" s="46" t="inlineStr">
        <is>
          <t>OPPO CPH3009</t>
        </is>
      </c>
      <c r="F18" s="41">
        <f>A18&amp;"|"&amp;D18&amp;"|"&amp;E18</f>
        <v/>
      </c>
      <c r="G18" s="63" t="n"/>
      <c r="H18" s="63" t="n"/>
      <c r="I18" s="63" t="n"/>
      <c r="J18" s="63" t="n"/>
      <c r="K18" s="63" t="n"/>
      <c r="L18" s="64">
        <f>IF(COUNT(G18:K18)=0,"",MEDIAN(G18:K18))</f>
        <v/>
      </c>
      <c r="M18" s="65">
        <f>IF(COUNT(G18:K18)=0,"",MIN(G18:K18))</f>
        <v/>
      </c>
      <c r="N18" s="65">
        <f>IF(COUNT(G18:K18)=0,"",MAX(G18:K18))</f>
        <v/>
      </c>
      <c r="O18" s="45">
        <f>IF(COUNT(G18:K18)&lt;2,"",IF(L18=0,"",(N18-M18)/L18))</f>
        <v/>
      </c>
      <c r="P18" s="5" t="inlineStr">
        <is>
          <t>no frames from the app; was Bench 20 symbols (20 stocks, A–Z) on screen?</t>
        </is>
      </c>
    </row>
    <row r="19">
      <c r="A19" s="8" t="inlineStr">
        <is>
          <t>S3</t>
        </is>
      </c>
      <c r="B19" s="8" t="inlineStr">
        <is>
          <t>Frame duration – 90th percentile</t>
        </is>
      </c>
      <c r="C19" s="8" t="inlineStr">
        <is>
          <t>ms</t>
        </is>
      </c>
      <c r="D19" s="8" t="inlineStr">
        <is>
          <t>RISE</t>
        </is>
      </c>
      <c r="E19" s="8" t="inlineStr">
        <is>
          <t>OPPO CPH3009</t>
        </is>
      </c>
      <c r="F19" s="41">
        <f>A19&amp;"|"&amp;D19&amp;"|"&amp;E19</f>
        <v/>
      </c>
      <c r="G19" s="63" t="n">
        <v>10.3</v>
      </c>
      <c r="H19" s="63" t="n">
        <v>9.699999999999999</v>
      </c>
      <c r="I19" s="63" t="n">
        <v>10.2</v>
      </c>
      <c r="J19" s="63" t="n">
        <v>9.300000000000001</v>
      </c>
      <c r="K19" s="63" t="n">
        <v>9.300000000000001</v>
      </c>
      <c r="L19" s="64">
        <f>IF(COUNT(G19:K19)=0,"",MEDIAN(G19:K19))</f>
        <v/>
      </c>
      <c r="M19" s="65">
        <f>IF(COUNT(G19:K19)=0,"",MIN(G19:K19))</f>
        <v/>
      </c>
      <c r="N19" s="65">
        <f>IF(COUNT(G19:K19)=0,"",MAX(G19:K19))</f>
        <v/>
      </c>
      <c r="O19" s="45">
        <f>IF(COUNT(G19:K19)&lt;2,"",IF(L19=0,"",(N19-M19)/L19))</f>
        <v/>
      </c>
      <c r="P19" s="5" t="n"/>
    </row>
    <row r="20">
      <c r="A20" s="6" t="inlineStr">
        <is>
          <t>S3</t>
        </is>
      </c>
      <c r="B20" s="6" t="inlineStr">
        <is>
          <t>Frame duration – 90th percentile</t>
        </is>
      </c>
      <c r="C20" s="6" t="inlineStr">
        <is>
          <t>ms</t>
        </is>
      </c>
      <c r="D20" s="6" t="inlineStr">
        <is>
          <t>Kite</t>
        </is>
      </c>
      <c r="E20" s="6" t="inlineStr">
        <is>
          <t>OPPO CPH3009</t>
        </is>
      </c>
      <c r="F20" s="41">
        <f>A20&amp;"|"&amp;D20&amp;"|"&amp;E20</f>
        <v/>
      </c>
      <c r="G20" s="63" t="n"/>
      <c r="H20" s="63" t="n"/>
      <c r="I20" s="63" t="n"/>
      <c r="J20" s="63" t="n"/>
      <c r="K20" s="63" t="n"/>
      <c r="L20" s="64">
        <f>IF(COUNT(G20:K20)=0,"",MEDIAN(G20:K20))</f>
        <v/>
      </c>
      <c r="M20" s="65">
        <f>IF(COUNT(G20:K20)=0,"",MIN(G20:K20))</f>
        <v/>
      </c>
      <c r="N20" s="65">
        <f>IF(COUNT(G20:K20)=0,"",MAX(G20:K20))</f>
        <v/>
      </c>
      <c r="O20" s="45">
        <f>IF(COUNT(G20:K20)&lt;2,"",IF(L20=0,"",(N20-M20)/L20))</f>
        <v/>
      </c>
      <c r="P20" s="5" t="inlineStr">
        <is>
          <t>no frames from the app; was Bench 20 symbols (20 stocks, A–Z) on screen?</t>
        </is>
      </c>
    </row>
    <row r="21">
      <c r="A21" s="6" t="inlineStr">
        <is>
          <t>S3</t>
        </is>
      </c>
      <c r="B21" s="6" t="inlineStr">
        <is>
          <t>Frame duration – 90th percentile</t>
        </is>
      </c>
      <c r="C21" s="6" t="inlineStr">
        <is>
          <t>ms</t>
        </is>
      </c>
      <c r="D21" s="6" t="inlineStr">
        <is>
          <t>Groww</t>
        </is>
      </c>
      <c r="E21" s="6" t="inlineStr">
        <is>
          <t>OPPO CPH3009</t>
        </is>
      </c>
      <c r="F21" s="41">
        <f>A21&amp;"|"&amp;D21&amp;"|"&amp;E21</f>
        <v/>
      </c>
      <c r="G21" s="63" t="n">
        <v>14.9</v>
      </c>
      <c r="H21" s="63" t="n">
        <v>14.7</v>
      </c>
      <c r="I21" s="63" t="n">
        <v>14.6</v>
      </c>
      <c r="J21" s="63" t="n">
        <v>14.5</v>
      </c>
      <c r="K21" s="63" t="n">
        <v>15.1</v>
      </c>
      <c r="L21" s="64">
        <f>IF(COUNT(G21:K21)=0,"",MEDIAN(G21:K21))</f>
        <v/>
      </c>
      <c r="M21" s="65">
        <f>IF(COUNT(G21:K21)=0,"",MIN(G21:K21))</f>
        <v/>
      </c>
      <c r="N21" s="65">
        <f>IF(COUNT(G21:K21)=0,"",MAX(G21:K21))</f>
        <v/>
      </c>
      <c r="O21" s="45">
        <f>IF(COUNT(G21:K21)&lt;2,"",IF(L21=0,"",(N21-M21)/L21))</f>
        <v/>
      </c>
      <c r="P21" s="5" t="n"/>
    </row>
    <row r="22">
      <c r="A22" s="6" t="inlineStr">
        <is>
          <t>S3</t>
        </is>
      </c>
      <c r="B22" s="6" t="inlineStr">
        <is>
          <t>Frame duration – 90th percentile</t>
        </is>
      </c>
      <c r="C22" s="6" t="inlineStr">
        <is>
          <t>ms</t>
        </is>
      </c>
      <c r="D22" s="6" t="inlineStr">
        <is>
          <t>Angel One</t>
        </is>
      </c>
      <c r="E22" s="6" t="inlineStr">
        <is>
          <t>OPPO CPH3009</t>
        </is>
      </c>
      <c r="F22" s="41">
        <f>A22&amp;"|"&amp;D22&amp;"|"&amp;E22</f>
        <v/>
      </c>
      <c r="G22" s="63" t="n">
        <v>8.9</v>
      </c>
      <c r="H22" s="63" t="n">
        <v>8.699999999999999</v>
      </c>
      <c r="I22" s="63" t="n">
        <v>8.1</v>
      </c>
      <c r="J22" s="63" t="n">
        <v>8.6</v>
      </c>
      <c r="K22" s="63" t="n">
        <v>8.5</v>
      </c>
      <c r="L22" s="64">
        <f>IF(COUNT(G22:K22)=0,"",MEDIAN(G22:K22))</f>
        <v/>
      </c>
      <c r="M22" s="65">
        <f>IF(COUNT(G22:K22)=0,"",MIN(G22:K22))</f>
        <v/>
      </c>
      <c r="N22" s="65">
        <f>IF(COUNT(G22:K22)=0,"",MAX(G22:K22))</f>
        <v/>
      </c>
      <c r="O22" s="45">
        <f>IF(COUNT(G22:K22)&lt;2,"",IF(L22=0,"",(N22-M22)/L22))</f>
        <v/>
      </c>
      <c r="P22" s="5" t="n"/>
    </row>
    <row r="23">
      <c r="A23" s="6" t="inlineStr">
        <is>
          <t>S3</t>
        </is>
      </c>
      <c r="B23" s="6" t="inlineStr">
        <is>
          <t>Frame duration – 90th percentile</t>
        </is>
      </c>
      <c r="C23" s="6" t="inlineStr">
        <is>
          <t>ms</t>
        </is>
      </c>
      <c r="D23" s="6" t="inlineStr">
        <is>
          <t>INDmoney</t>
        </is>
      </c>
      <c r="E23" s="6" t="inlineStr">
        <is>
          <t>OPPO CPH3009</t>
        </is>
      </c>
      <c r="F23" s="41">
        <f>A23&amp;"|"&amp;D23&amp;"|"&amp;E23</f>
        <v/>
      </c>
      <c r="G23" s="63" t="n">
        <v>14.6</v>
      </c>
      <c r="H23" s="63" t="n">
        <v>14.8</v>
      </c>
      <c r="I23" s="63" t="n">
        <v>16</v>
      </c>
      <c r="J23" s="63" t="n">
        <v>14.8</v>
      </c>
      <c r="K23" s="63" t="n">
        <v>14.3</v>
      </c>
      <c r="L23" s="64">
        <f>IF(COUNT(G23:K23)=0,"",MEDIAN(G23:K23))</f>
        <v/>
      </c>
      <c r="M23" s="65">
        <f>IF(COUNT(G23:K23)=0,"",MIN(G23:K23))</f>
        <v/>
      </c>
      <c r="N23" s="65">
        <f>IF(COUNT(G23:K23)=0,"",MAX(G23:K23))</f>
        <v/>
      </c>
      <c r="O23" s="45">
        <f>IF(COUNT(G23:K23)&lt;2,"",IF(L23=0,"",(N23-M23)/L23))</f>
        <v/>
      </c>
      <c r="P23" s="5" t="n"/>
    </row>
    <row r="24">
      <c r="A24" s="6" t="inlineStr">
        <is>
          <t>S3</t>
        </is>
      </c>
      <c r="B24" s="6" t="inlineStr">
        <is>
          <t>Frame duration – 90th percentile</t>
        </is>
      </c>
      <c r="C24" s="6" t="inlineStr">
        <is>
          <t>ms</t>
        </is>
      </c>
      <c r="D24" s="6" t="inlineStr">
        <is>
          <t>Kotak Neo</t>
        </is>
      </c>
      <c r="E24" s="6" t="inlineStr">
        <is>
          <t>OPPO CPH3009</t>
        </is>
      </c>
      <c r="F24" s="41">
        <f>A24&amp;"|"&amp;D24&amp;"|"&amp;E24</f>
        <v/>
      </c>
      <c r="G24" s="63" t="n"/>
      <c r="H24" s="63" t="n"/>
      <c r="I24" s="63" t="n"/>
      <c r="J24" s="63" t="n"/>
      <c r="K24" s="63" t="n"/>
      <c r="L24" s="64">
        <f>IF(COUNT(G24:K24)=0,"",MEDIAN(G24:K24))</f>
        <v/>
      </c>
      <c r="M24" s="65">
        <f>IF(COUNT(G24:K24)=0,"",MIN(G24:K24))</f>
        <v/>
      </c>
      <c r="N24" s="65">
        <f>IF(COUNT(G24:K24)=0,"",MAX(G24:K24))</f>
        <v/>
      </c>
      <c r="O24" s="45">
        <f>IF(COUNT(G24:K24)&lt;2,"",IF(L24=0,"",(N24-M24)/L24))</f>
        <v/>
      </c>
      <c r="P24" s="5" t="inlineStr">
        <is>
          <t>no frames from the app; was Bench 20 symbols (20 stocks, A–Z) on screen?</t>
        </is>
      </c>
    </row>
    <row r="25">
      <c r="A25" s="6" t="inlineStr">
        <is>
          <t>S3</t>
        </is>
      </c>
      <c r="B25" s="6" t="inlineStr">
        <is>
          <t>Frame duration – 90th percentile</t>
        </is>
      </c>
      <c r="C25" s="6" t="inlineStr">
        <is>
          <t>ms</t>
        </is>
      </c>
      <c r="D25" s="6" t="inlineStr">
        <is>
          <t>SAHI</t>
        </is>
      </c>
      <c r="E25" s="6" t="inlineStr">
        <is>
          <t>OPPO CPH3009</t>
        </is>
      </c>
      <c r="F25" s="41">
        <f>A25&amp;"|"&amp;D25&amp;"|"&amp;E25</f>
        <v/>
      </c>
      <c r="G25" s="63" t="n"/>
      <c r="H25" s="63" t="n"/>
      <c r="I25" s="63" t="n"/>
      <c r="J25" s="63" t="n"/>
      <c r="K25" s="63" t="n"/>
      <c r="L25" s="64">
        <f>IF(COUNT(G25:K25)=0,"",MEDIAN(G25:K25))</f>
        <v/>
      </c>
      <c r="M25" s="65">
        <f>IF(COUNT(G25:K25)=0,"",MIN(G25:K25))</f>
        <v/>
      </c>
      <c r="N25" s="65">
        <f>IF(COUNT(G25:K25)=0,"",MAX(G25:K25))</f>
        <v/>
      </c>
      <c r="O25" s="45">
        <f>IF(COUNT(G25:K25)&lt;2,"",IF(L25=0,"",(N25-M25)/L25))</f>
        <v/>
      </c>
      <c r="P25" s="5" t="inlineStr">
        <is>
          <t>no frames from the app; was Bench 20 symbols (20 stocks, A–Z) on screen?</t>
        </is>
      </c>
    </row>
    <row r="26">
      <c r="A26" s="8" t="inlineStr">
        <is>
          <t>S4</t>
        </is>
      </c>
      <c r="B26" s="8" t="inlineStr">
        <is>
          <t>Frame duration – 99th percentile</t>
        </is>
      </c>
      <c r="C26" s="8" t="inlineStr">
        <is>
          <t>ms</t>
        </is>
      </c>
      <c r="D26" s="8" t="inlineStr">
        <is>
          <t>RISE</t>
        </is>
      </c>
      <c r="E26" s="8" t="inlineStr">
        <is>
          <t>OPPO CPH3009</t>
        </is>
      </c>
      <c r="F26" s="41">
        <f>A26&amp;"|"&amp;D26&amp;"|"&amp;E26</f>
        <v/>
      </c>
      <c r="G26" s="63" t="n">
        <v>16.2</v>
      </c>
      <c r="H26" s="63" t="n">
        <v>15.1</v>
      </c>
      <c r="I26" s="63" t="n">
        <v>15</v>
      </c>
      <c r="J26" s="63" t="n">
        <v>14.7</v>
      </c>
      <c r="K26" s="63" t="n">
        <v>14.6</v>
      </c>
      <c r="L26" s="64">
        <f>IF(COUNT(G26:K26)=0,"",MEDIAN(G26:K26))</f>
        <v/>
      </c>
      <c r="M26" s="65">
        <f>IF(COUNT(G26:K26)=0,"",MIN(G26:K26))</f>
        <v/>
      </c>
      <c r="N26" s="65">
        <f>IF(COUNT(G26:K26)=0,"",MAX(G26:K26))</f>
        <v/>
      </c>
      <c r="O26" s="45">
        <f>IF(COUNT(G26:K26)&lt;2,"",IF(L26=0,"",(N26-M26)/L26))</f>
        <v/>
      </c>
      <c r="P26" s="5" t="n"/>
    </row>
    <row r="27">
      <c r="A27" s="46" t="inlineStr">
        <is>
          <t>S4</t>
        </is>
      </c>
      <c r="B27" s="46" t="inlineStr">
        <is>
          <t>Frame duration – 99th percentile</t>
        </is>
      </c>
      <c r="C27" s="46" t="inlineStr">
        <is>
          <t>ms</t>
        </is>
      </c>
      <c r="D27" s="46" t="inlineStr">
        <is>
          <t>Kite</t>
        </is>
      </c>
      <c r="E27" s="46" t="inlineStr">
        <is>
          <t>OPPO CPH3009</t>
        </is>
      </c>
      <c r="F27" s="41">
        <f>A27&amp;"|"&amp;D27&amp;"|"&amp;E27</f>
        <v/>
      </c>
      <c r="G27" s="63" t="n"/>
      <c r="H27" s="63" t="n"/>
      <c r="I27" s="63" t="n"/>
      <c r="J27" s="63" t="n"/>
      <c r="K27" s="63" t="n"/>
      <c r="L27" s="64">
        <f>IF(COUNT(G27:K27)=0,"",MEDIAN(G27:K27))</f>
        <v/>
      </c>
      <c r="M27" s="65">
        <f>IF(COUNT(G27:K27)=0,"",MIN(G27:K27))</f>
        <v/>
      </c>
      <c r="N27" s="65">
        <f>IF(COUNT(G27:K27)=0,"",MAX(G27:K27))</f>
        <v/>
      </c>
      <c r="O27" s="45">
        <f>IF(COUNT(G27:K27)&lt;2,"",IF(L27=0,"",(N27-M27)/L27))</f>
        <v/>
      </c>
      <c r="P27" s="5" t="inlineStr">
        <is>
          <t>no frames from the app; was Bench 20 symbols (20 stocks, A–Z) on screen?</t>
        </is>
      </c>
    </row>
    <row r="28">
      <c r="A28" s="46" t="inlineStr">
        <is>
          <t>S4</t>
        </is>
      </c>
      <c r="B28" s="46" t="inlineStr">
        <is>
          <t>Frame duration – 99th percentile</t>
        </is>
      </c>
      <c r="C28" s="46" t="inlineStr">
        <is>
          <t>ms</t>
        </is>
      </c>
      <c r="D28" s="46" t="inlineStr">
        <is>
          <t>Groww</t>
        </is>
      </c>
      <c r="E28" s="46" t="inlineStr">
        <is>
          <t>OPPO CPH3009</t>
        </is>
      </c>
      <c r="F28" s="41">
        <f>A28&amp;"|"&amp;D28&amp;"|"&amp;E28</f>
        <v/>
      </c>
      <c r="G28" s="63" t="n">
        <v>30.3</v>
      </c>
      <c r="H28" s="63" t="n">
        <v>30.4</v>
      </c>
      <c r="I28" s="63" t="n">
        <v>29.9</v>
      </c>
      <c r="J28" s="63" t="n">
        <v>27.1</v>
      </c>
      <c r="K28" s="63" t="n">
        <v>30.6</v>
      </c>
      <c r="L28" s="64">
        <f>IF(COUNT(G28:K28)=0,"",MEDIAN(G28:K28))</f>
        <v/>
      </c>
      <c r="M28" s="65">
        <f>IF(COUNT(G28:K28)=0,"",MIN(G28:K28))</f>
        <v/>
      </c>
      <c r="N28" s="65">
        <f>IF(COUNT(G28:K28)=0,"",MAX(G28:K28))</f>
        <v/>
      </c>
      <c r="O28" s="45">
        <f>IF(COUNT(G28:K28)&lt;2,"",IF(L28=0,"",(N28-M28)/L28))</f>
        <v/>
      </c>
      <c r="P28" s="5" t="n"/>
    </row>
    <row r="29">
      <c r="A29" s="46" t="inlineStr">
        <is>
          <t>S4</t>
        </is>
      </c>
      <c r="B29" s="46" t="inlineStr">
        <is>
          <t>Frame duration – 99th percentile</t>
        </is>
      </c>
      <c r="C29" s="46" t="inlineStr">
        <is>
          <t>ms</t>
        </is>
      </c>
      <c r="D29" s="46" t="inlineStr">
        <is>
          <t>Angel One</t>
        </is>
      </c>
      <c r="E29" s="46" t="inlineStr">
        <is>
          <t>OPPO CPH3009</t>
        </is>
      </c>
      <c r="F29" s="41">
        <f>A29&amp;"|"&amp;D29&amp;"|"&amp;E29</f>
        <v/>
      </c>
      <c r="G29" s="63" t="n">
        <v>20</v>
      </c>
      <c r="H29" s="63" t="n">
        <v>19.6</v>
      </c>
      <c r="I29" s="63" t="n">
        <v>19.6</v>
      </c>
      <c r="J29" s="63" t="n">
        <v>19.4</v>
      </c>
      <c r="K29" s="63" t="n">
        <v>17.8</v>
      </c>
      <c r="L29" s="64">
        <f>IF(COUNT(G29:K29)=0,"",MEDIAN(G29:K29))</f>
        <v/>
      </c>
      <c r="M29" s="65">
        <f>IF(COUNT(G29:K29)=0,"",MIN(G29:K29))</f>
        <v/>
      </c>
      <c r="N29" s="65">
        <f>IF(COUNT(G29:K29)=0,"",MAX(G29:K29))</f>
        <v/>
      </c>
      <c r="O29" s="45">
        <f>IF(COUNT(G29:K29)&lt;2,"",IF(L29=0,"",(N29-M29)/L29))</f>
        <v/>
      </c>
      <c r="P29" s="5" t="n"/>
    </row>
    <row r="30">
      <c r="A30" s="46" t="inlineStr">
        <is>
          <t>S4</t>
        </is>
      </c>
      <c r="B30" s="46" t="inlineStr">
        <is>
          <t>Frame duration – 99th percentile</t>
        </is>
      </c>
      <c r="C30" s="46" t="inlineStr">
        <is>
          <t>ms</t>
        </is>
      </c>
      <c r="D30" s="46" t="inlineStr">
        <is>
          <t>INDmoney</t>
        </is>
      </c>
      <c r="E30" s="46" t="inlineStr">
        <is>
          <t>OPPO CPH3009</t>
        </is>
      </c>
      <c r="F30" s="41">
        <f>A30&amp;"|"&amp;D30&amp;"|"&amp;E30</f>
        <v/>
      </c>
      <c r="G30" s="63" t="n">
        <v>22.1</v>
      </c>
      <c r="H30" s="63" t="n">
        <v>22.1</v>
      </c>
      <c r="I30" s="63" t="n">
        <v>22.1</v>
      </c>
      <c r="J30" s="63" t="n">
        <v>22.1</v>
      </c>
      <c r="K30" s="63" t="n">
        <v>22.2</v>
      </c>
      <c r="L30" s="64">
        <f>IF(COUNT(G30:K30)=0,"",MEDIAN(G30:K30))</f>
        <v/>
      </c>
      <c r="M30" s="65">
        <f>IF(COUNT(G30:K30)=0,"",MIN(G30:K30))</f>
        <v/>
      </c>
      <c r="N30" s="65">
        <f>IF(COUNT(G30:K30)=0,"",MAX(G30:K30))</f>
        <v/>
      </c>
      <c r="O30" s="45">
        <f>IF(COUNT(G30:K30)&lt;2,"",IF(L30=0,"",(N30-M30)/L30))</f>
        <v/>
      </c>
      <c r="P30" s="5" t="n"/>
    </row>
    <row r="31">
      <c r="A31" s="46" t="inlineStr">
        <is>
          <t>S4</t>
        </is>
      </c>
      <c r="B31" s="46" t="inlineStr">
        <is>
          <t>Frame duration – 99th percentile</t>
        </is>
      </c>
      <c r="C31" s="46" t="inlineStr">
        <is>
          <t>ms</t>
        </is>
      </c>
      <c r="D31" s="46" t="inlineStr">
        <is>
          <t>Kotak Neo</t>
        </is>
      </c>
      <c r="E31" s="46" t="inlineStr">
        <is>
          <t>OPPO CPH3009</t>
        </is>
      </c>
      <c r="F31" s="41">
        <f>A31&amp;"|"&amp;D31&amp;"|"&amp;E31</f>
        <v/>
      </c>
      <c r="G31" s="63" t="n"/>
      <c r="H31" s="63" t="n"/>
      <c r="I31" s="63" t="n"/>
      <c r="J31" s="63" t="n"/>
      <c r="K31" s="63" t="n"/>
      <c r="L31" s="64">
        <f>IF(COUNT(G31:K31)=0,"",MEDIAN(G31:K31))</f>
        <v/>
      </c>
      <c r="M31" s="65">
        <f>IF(COUNT(G31:K31)=0,"",MIN(G31:K31))</f>
        <v/>
      </c>
      <c r="N31" s="65">
        <f>IF(COUNT(G31:K31)=0,"",MAX(G31:K31))</f>
        <v/>
      </c>
      <c r="O31" s="45">
        <f>IF(COUNT(G31:K31)&lt;2,"",IF(L31=0,"",(N31-M31)/L31))</f>
        <v/>
      </c>
      <c r="P31" s="5" t="inlineStr">
        <is>
          <t>no frames from the app; was Bench 20 symbols (20 stocks, A–Z) on screen?</t>
        </is>
      </c>
    </row>
    <row r="32">
      <c r="A32" s="46" t="inlineStr">
        <is>
          <t>S4</t>
        </is>
      </c>
      <c r="B32" s="46" t="inlineStr">
        <is>
          <t>Frame duration – 99th percentile</t>
        </is>
      </c>
      <c r="C32" s="46" t="inlineStr">
        <is>
          <t>ms</t>
        </is>
      </c>
      <c r="D32" s="46" t="inlineStr">
        <is>
          <t>SAHI</t>
        </is>
      </c>
      <c r="E32" s="46" t="inlineStr">
        <is>
          <t>OPPO CPH3009</t>
        </is>
      </c>
      <c r="F32" s="41">
        <f>A32&amp;"|"&amp;D32&amp;"|"&amp;E32</f>
        <v/>
      </c>
      <c r="G32" s="63" t="n"/>
      <c r="H32" s="63" t="n"/>
      <c r="I32" s="63" t="n"/>
      <c r="J32" s="63" t="n"/>
      <c r="K32" s="63" t="n"/>
      <c r="L32" s="64">
        <f>IF(COUNT(G32:K32)=0,"",MEDIAN(G32:K32))</f>
        <v/>
      </c>
      <c r="M32" s="65">
        <f>IF(COUNT(G32:K32)=0,"",MIN(G32:K32))</f>
        <v/>
      </c>
      <c r="N32" s="65">
        <f>IF(COUNT(G32:K32)=0,"",MAX(G32:K32))</f>
        <v/>
      </c>
      <c r="O32" s="45">
        <f>IF(COUNT(G32:K32)&lt;2,"",IF(L32=0,"",(N32-M32)/L32))</f>
        <v/>
      </c>
      <c r="P32" s="5" t="inlineStr">
        <is>
          <t>no frames from the app; was Bench 20 symbols (20 stocks, A–Z) on screen?</t>
        </is>
      </c>
    </row>
    <row r="33">
      <c r="A33" s="8" t="inlineStr">
        <is>
          <t>S5</t>
        </is>
      </c>
      <c r="B33" s="8" t="inlineStr">
        <is>
          <t>Average FPS while scrolling Bench 20 symbols (20 stocks, A–Z)</t>
        </is>
      </c>
      <c r="C33" s="8" t="inlineStr">
        <is>
          <t>fps</t>
        </is>
      </c>
      <c r="D33" s="8" t="inlineStr">
        <is>
          <t>RISE</t>
        </is>
      </c>
      <c r="E33" s="8" t="inlineStr">
        <is>
          <t>OPPO CPH3009</t>
        </is>
      </c>
      <c r="F33" s="41">
        <f>A33&amp;"|"&amp;D33&amp;"|"&amp;E33</f>
        <v/>
      </c>
      <c r="G33" s="63" t="n">
        <v>74.40000000000001</v>
      </c>
      <c r="H33" s="63" t="n">
        <v>76.7</v>
      </c>
      <c r="I33" s="63" t="n">
        <v>74.59999999999999</v>
      </c>
      <c r="J33" s="63" t="n">
        <v>75.3</v>
      </c>
      <c r="K33" s="63" t="n">
        <v>76.09999999999999</v>
      </c>
      <c r="L33" s="64">
        <f>IF(COUNT(G33:K33)=0,"",MEDIAN(G33:K33))</f>
        <v/>
      </c>
      <c r="M33" s="65">
        <f>IF(COUNT(G33:K33)=0,"",MIN(G33:K33))</f>
        <v/>
      </c>
      <c r="N33" s="65">
        <f>IF(COUNT(G33:K33)=0,"",MAX(G33:K33))</f>
        <v/>
      </c>
      <c r="O33" s="45">
        <f>IF(COUNT(G33:K33)&lt;2,"",IF(L33=0,"",(N33-M33)/L33))</f>
        <v/>
      </c>
      <c r="P33" s="5" t="n"/>
    </row>
    <row r="34">
      <c r="A34" s="6" t="inlineStr">
        <is>
          <t>S5</t>
        </is>
      </c>
      <c r="B34" s="6" t="inlineStr">
        <is>
          <t>Average FPS while scrolling Bench 20 symbols (20 stocks, A–Z)</t>
        </is>
      </c>
      <c r="C34" s="6" t="inlineStr">
        <is>
          <t>fps</t>
        </is>
      </c>
      <c r="D34" s="6" t="inlineStr">
        <is>
          <t>Kite</t>
        </is>
      </c>
      <c r="E34" s="6" t="inlineStr">
        <is>
          <t>OPPO CPH3009</t>
        </is>
      </c>
      <c r="F34" s="41">
        <f>A34&amp;"|"&amp;D34&amp;"|"&amp;E34</f>
        <v/>
      </c>
      <c r="G34" s="63" t="n"/>
      <c r="H34" s="63" t="n"/>
      <c r="I34" s="63" t="n"/>
      <c r="J34" s="63" t="n"/>
      <c r="K34" s="63" t="n"/>
      <c r="L34" s="64">
        <f>IF(COUNT(G34:K34)=0,"",MEDIAN(G34:K34))</f>
        <v/>
      </c>
      <c r="M34" s="65">
        <f>IF(COUNT(G34:K34)=0,"",MIN(G34:K34))</f>
        <v/>
      </c>
      <c r="N34" s="65">
        <f>IF(COUNT(G34:K34)=0,"",MAX(G34:K34))</f>
        <v/>
      </c>
      <c r="O34" s="45">
        <f>IF(COUNT(G34:K34)&lt;2,"",IF(L34=0,"",(N34-M34)/L34))</f>
        <v/>
      </c>
      <c r="P34" s="5" t="inlineStr">
        <is>
          <t>no frames from the app; was Bench 20 symbols (20 stocks, A–Z) on screen?</t>
        </is>
      </c>
    </row>
    <row r="35">
      <c r="A35" s="6" t="inlineStr">
        <is>
          <t>S5</t>
        </is>
      </c>
      <c r="B35" s="6" t="inlineStr">
        <is>
          <t>Average FPS while scrolling Bench 20 symbols (20 stocks, A–Z)</t>
        </is>
      </c>
      <c r="C35" s="6" t="inlineStr">
        <is>
          <t>fps</t>
        </is>
      </c>
      <c r="D35" s="6" t="inlineStr">
        <is>
          <t>Groww</t>
        </is>
      </c>
      <c r="E35" s="6" t="inlineStr">
        <is>
          <t>OPPO CPH3009</t>
        </is>
      </c>
      <c r="F35" s="41">
        <f>A35&amp;"|"&amp;D35&amp;"|"&amp;E35</f>
        <v/>
      </c>
      <c r="G35" s="63" t="n">
        <v>90</v>
      </c>
      <c r="H35" s="63" t="n">
        <v>90.09999999999999</v>
      </c>
      <c r="I35" s="63" t="n">
        <v>90</v>
      </c>
      <c r="J35" s="63" t="n">
        <v>90.09999999999999</v>
      </c>
      <c r="K35" s="63" t="n">
        <v>90.09999999999999</v>
      </c>
      <c r="L35" s="64">
        <f>IF(COUNT(G35:K35)=0,"",MEDIAN(G35:K35))</f>
        <v/>
      </c>
      <c r="M35" s="65">
        <f>IF(COUNT(G35:K35)=0,"",MIN(G35:K35))</f>
        <v/>
      </c>
      <c r="N35" s="65">
        <f>IF(COUNT(G35:K35)=0,"",MAX(G35:K35))</f>
        <v/>
      </c>
      <c r="O35" s="45">
        <f>IF(COUNT(G35:K35)&lt;2,"",IF(L35=0,"",(N35-M35)/L35))</f>
        <v/>
      </c>
      <c r="P35" s="5" t="n"/>
    </row>
    <row r="36">
      <c r="A36" s="6" t="inlineStr">
        <is>
          <t>S5</t>
        </is>
      </c>
      <c r="B36" s="6" t="inlineStr">
        <is>
          <t>Average FPS while scrolling Bench 20 symbols (20 stocks, A–Z)</t>
        </is>
      </c>
      <c r="C36" s="6" t="inlineStr">
        <is>
          <t>fps</t>
        </is>
      </c>
      <c r="D36" s="6" t="inlineStr">
        <is>
          <t>Angel One</t>
        </is>
      </c>
      <c r="E36" s="6" t="inlineStr">
        <is>
          <t>OPPO CPH3009</t>
        </is>
      </c>
      <c r="F36" s="41">
        <f>A36&amp;"|"&amp;D36&amp;"|"&amp;E36</f>
        <v/>
      </c>
      <c r="G36" s="63" t="n">
        <v>87.2</v>
      </c>
      <c r="H36" s="63" t="n">
        <v>88</v>
      </c>
      <c r="I36" s="63" t="n">
        <v>87.90000000000001</v>
      </c>
      <c r="J36" s="63" t="n">
        <v>88.40000000000001</v>
      </c>
      <c r="K36" s="63" t="n">
        <v>87.5</v>
      </c>
      <c r="L36" s="64">
        <f>IF(COUNT(G36:K36)=0,"",MEDIAN(G36:K36))</f>
        <v/>
      </c>
      <c r="M36" s="65">
        <f>IF(COUNT(G36:K36)=0,"",MIN(G36:K36))</f>
        <v/>
      </c>
      <c r="N36" s="65">
        <f>IF(COUNT(G36:K36)=0,"",MAX(G36:K36))</f>
        <v/>
      </c>
      <c r="O36" s="45">
        <f>IF(COUNT(G36:K36)&lt;2,"",IF(L36=0,"",(N36-M36)/L36))</f>
        <v/>
      </c>
      <c r="P36" s="5" t="n"/>
    </row>
    <row r="37">
      <c r="A37" s="6" t="inlineStr">
        <is>
          <t>S5</t>
        </is>
      </c>
      <c r="B37" s="6" t="inlineStr">
        <is>
          <t>Average FPS while scrolling Bench 20 symbols (20 stocks, A–Z)</t>
        </is>
      </c>
      <c r="C37" s="6" t="inlineStr">
        <is>
          <t>fps</t>
        </is>
      </c>
      <c r="D37" s="6" t="inlineStr">
        <is>
          <t>INDmoney</t>
        </is>
      </c>
      <c r="E37" s="6" t="inlineStr">
        <is>
          <t>OPPO CPH3009</t>
        </is>
      </c>
      <c r="F37" s="41">
        <f>A37&amp;"|"&amp;D37&amp;"|"&amp;E37</f>
        <v/>
      </c>
      <c r="G37" s="63" t="n">
        <v>120.3</v>
      </c>
      <c r="H37" s="63" t="n">
        <v>120.3</v>
      </c>
      <c r="I37" s="63" t="n">
        <v>120.2</v>
      </c>
      <c r="J37" s="63" t="n">
        <v>120.5</v>
      </c>
      <c r="K37" s="63" t="n">
        <v>120.4</v>
      </c>
      <c r="L37" s="64">
        <f>IF(COUNT(G37:K37)=0,"",MEDIAN(G37:K37))</f>
        <v/>
      </c>
      <c r="M37" s="65">
        <f>IF(COUNT(G37:K37)=0,"",MIN(G37:K37))</f>
        <v/>
      </c>
      <c r="N37" s="65">
        <f>IF(COUNT(G37:K37)=0,"",MAX(G37:K37))</f>
        <v/>
      </c>
      <c r="O37" s="45">
        <f>IF(COUNT(G37:K37)&lt;2,"",IF(L37=0,"",(N37-M37)/L37))</f>
        <v/>
      </c>
      <c r="P37" s="5" t="n"/>
    </row>
    <row r="38">
      <c r="A38" s="6" t="inlineStr">
        <is>
          <t>S5</t>
        </is>
      </c>
      <c r="B38" s="6" t="inlineStr">
        <is>
          <t>Average FPS while scrolling Bench 20 symbols (20 stocks, A–Z)</t>
        </is>
      </c>
      <c r="C38" s="6" t="inlineStr">
        <is>
          <t>fps</t>
        </is>
      </c>
      <c r="D38" s="6" t="inlineStr">
        <is>
          <t>Kotak Neo</t>
        </is>
      </c>
      <c r="E38" s="6" t="inlineStr">
        <is>
          <t>OPPO CPH3009</t>
        </is>
      </c>
      <c r="F38" s="41">
        <f>A38&amp;"|"&amp;D38&amp;"|"&amp;E38</f>
        <v/>
      </c>
      <c r="G38" s="63" t="n"/>
      <c r="H38" s="63" t="n"/>
      <c r="I38" s="63" t="n"/>
      <c r="J38" s="63" t="n"/>
      <c r="K38" s="63" t="n"/>
      <c r="L38" s="64">
        <f>IF(COUNT(G38:K38)=0,"",MEDIAN(G38:K38))</f>
        <v/>
      </c>
      <c r="M38" s="65">
        <f>IF(COUNT(G38:K38)=0,"",MIN(G38:K38))</f>
        <v/>
      </c>
      <c r="N38" s="65">
        <f>IF(COUNT(G38:K38)=0,"",MAX(G38:K38))</f>
        <v/>
      </c>
      <c r="O38" s="45">
        <f>IF(COUNT(G38:K38)&lt;2,"",IF(L38=0,"",(N38-M38)/L38))</f>
        <v/>
      </c>
      <c r="P38" s="5" t="inlineStr">
        <is>
          <t>no frames from the app; was Bench 20 symbols (20 stocks, A–Z) on screen?</t>
        </is>
      </c>
    </row>
    <row r="39">
      <c r="A39" s="6" t="inlineStr">
        <is>
          <t>S5</t>
        </is>
      </c>
      <c r="B39" s="6" t="inlineStr">
        <is>
          <t>Average FPS while scrolling Bench 20 symbols (20 stocks, A–Z)</t>
        </is>
      </c>
      <c r="C39" s="6" t="inlineStr">
        <is>
          <t>fps</t>
        </is>
      </c>
      <c r="D39" s="6" t="inlineStr">
        <is>
          <t>SAHI</t>
        </is>
      </c>
      <c r="E39" s="6" t="inlineStr">
        <is>
          <t>OPPO CPH3009</t>
        </is>
      </c>
      <c r="F39" s="41">
        <f>A39&amp;"|"&amp;D39&amp;"|"&amp;E39</f>
        <v/>
      </c>
      <c r="G39" s="63" t="n"/>
      <c r="H39" s="63" t="n"/>
      <c r="I39" s="63" t="n"/>
      <c r="J39" s="63" t="n"/>
      <c r="K39" s="63" t="n"/>
      <c r="L39" s="64">
        <f>IF(COUNT(G39:K39)=0,"",MEDIAN(G39:K39))</f>
        <v/>
      </c>
      <c r="M39" s="65">
        <f>IF(COUNT(G39:K39)=0,"",MIN(G39:K39))</f>
        <v/>
      </c>
      <c r="N39" s="65">
        <f>IF(COUNT(G39:K39)=0,"",MAX(G39:K39))</f>
        <v/>
      </c>
      <c r="O39" s="45">
        <f>IF(COUNT(G39:K39)&lt;2,"",IF(L39=0,"",(N39-M39)/L39))</f>
        <v/>
      </c>
      <c r="P39" s="5" t="inlineStr">
        <is>
          <t>no frames from the app; was Bench 20 symbols (20 stocks, A–Z) on screen?</t>
        </is>
      </c>
    </row>
    <row r="40">
      <c r="A40" s="8" t="inlineStr">
        <is>
          <t>S6</t>
        </is>
      </c>
      <c r="B40" s="8" t="inlineStr">
        <is>
          <t>Janky frames – Large account</t>
        </is>
      </c>
      <c r="C40" s="8" t="inlineStr">
        <is>
          <t>%</t>
        </is>
      </c>
      <c r="D40" s="8" t="inlineStr">
        <is>
          <t>RISE</t>
        </is>
      </c>
      <c r="E40" s="8" t="inlineStr">
        <is>
          <t>OPPO CPH3009</t>
        </is>
      </c>
      <c r="F40" s="41">
        <f>A40&amp;"|"&amp;D40&amp;"|"&amp;E40</f>
        <v/>
      </c>
      <c r="G40" s="63" t="n"/>
      <c r="H40" s="63" t="n"/>
      <c r="I40" s="63" t="n"/>
      <c r="J40" s="63" t="n"/>
      <c r="K40" s="63" t="n"/>
      <c r="L40" s="64">
        <f>IF(COUNT(G40:K40)=0,"",MEDIAN(G40:K40))</f>
        <v/>
      </c>
      <c r="M40" s="65">
        <f>IF(COUNT(G40:K40)=0,"",MIN(G40:K40))</f>
        <v/>
      </c>
      <c r="N40" s="65">
        <f>IF(COUNT(G40:K40)=0,"",MAX(G40:K40))</f>
        <v/>
      </c>
      <c r="O40" s="45">
        <f>IF(COUNT(G40:K40)&lt;2,"",IF(L40=0,"",(N40-M40)/L40))</f>
        <v/>
      </c>
      <c r="P40" s="5" t="n"/>
    </row>
    <row r="41">
      <c r="A41" s="46" t="inlineStr">
        <is>
          <t>S6</t>
        </is>
      </c>
      <c r="B41" s="46" t="inlineStr">
        <is>
          <t>Janky frames – Large account</t>
        </is>
      </c>
      <c r="C41" s="46" t="inlineStr">
        <is>
          <t>%</t>
        </is>
      </c>
      <c r="D41" s="46" t="inlineStr">
        <is>
          <t>Kite</t>
        </is>
      </c>
      <c r="E41" s="46" t="inlineStr">
        <is>
          <t>OPPO CPH3009</t>
        </is>
      </c>
      <c r="F41" s="41">
        <f>A41&amp;"|"&amp;D41&amp;"|"&amp;E41</f>
        <v/>
      </c>
      <c r="G41" s="63" t="n"/>
      <c r="H41" s="63" t="n"/>
      <c r="I41" s="63" t="n"/>
      <c r="J41" s="63" t="n"/>
      <c r="K41" s="63" t="n"/>
      <c r="L41" s="64">
        <f>IF(COUNT(G41:K41)=0,"",MEDIAN(G41:K41))</f>
        <v/>
      </c>
      <c r="M41" s="65">
        <f>IF(COUNT(G41:K41)=0,"",MIN(G41:K41))</f>
        <v/>
      </c>
      <c r="N41" s="65">
        <f>IF(COUNT(G41:K41)=0,"",MAX(G41:K41))</f>
        <v/>
      </c>
      <c r="O41" s="45">
        <f>IF(COUNT(G41:K41)&lt;2,"",IF(L41=0,"",(N41-M41)/L41))</f>
        <v/>
      </c>
      <c r="P41" s="5" t="n"/>
    </row>
    <row r="42">
      <c r="A42" s="46" t="inlineStr">
        <is>
          <t>S6</t>
        </is>
      </c>
      <c r="B42" s="46" t="inlineStr">
        <is>
          <t>Janky frames – Large account</t>
        </is>
      </c>
      <c r="C42" s="46" t="inlineStr">
        <is>
          <t>%</t>
        </is>
      </c>
      <c r="D42" s="46" t="inlineStr">
        <is>
          <t>Groww</t>
        </is>
      </c>
      <c r="E42" s="46" t="inlineStr">
        <is>
          <t>OPPO CPH3009</t>
        </is>
      </c>
      <c r="F42" s="41">
        <f>A42&amp;"|"&amp;D42&amp;"|"&amp;E42</f>
        <v/>
      </c>
      <c r="G42" s="63" t="n"/>
      <c r="H42" s="63" t="n"/>
      <c r="I42" s="63" t="n"/>
      <c r="J42" s="63" t="n"/>
      <c r="K42" s="63" t="n"/>
      <c r="L42" s="64">
        <f>IF(COUNT(G42:K42)=0,"",MEDIAN(G42:K42))</f>
        <v/>
      </c>
      <c r="M42" s="65">
        <f>IF(COUNT(G42:K42)=0,"",MIN(G42:K42))</f>
        <v/>
      </c>
      <c r="N42" s="65">
        <f>IF(COUNT(G42:K42)=0,"",MAX(G42:K42))</f>
        <v/>
      </c>
      <c r="O42" s="45">
        <f>IF(COUNT(G42:K42)&lt;2,"",IF(L42=0,"",(N42-M42)/L42))</f>
        <v/>
      </c>
      <c r="P42" s="5" t="n"/>
    </row>
    <row r="43">
      <c r="A43" s="46" t="inlineStr">
        <is>
          <t>S6</t>
        </is>
      </c>
      <c r="B43" s="46" t="inlineStr">
        <is>
          <t>Janky frames – Large account</t>
        </is>
      </c>
      <c r="C43" s="46" t="inlineStr">
        <is>
          <t>%</t>
        </is>
      </c>
      <c r="D43" s="46" t="inlineStr">
        <is>
          <t>Angel One</t>
        </is>
      </c>
      <c r="E43" s="46" t="inlineStr">
        <is>
          <t>OPPO CPH3009</t>
        </is>
      </c>
      <c r="F43" s="41">
        <f>A43&amp;"|"&amp;D43&amp;"|"&amp;E43</f>
        <v/>
      </c>
      <c r="G43" s="63" t="n"/>
      <c r="H43" s="63" t="n"/>
      <c r="I43" s="63" t="n"/>
      <c r="J43" s="63" t="n"/>
      <c r="K43" s="63" t="n"/>
      <c r="L43" s="64">
        <f>IF(COUNT(G43:K43)=0,"",MEDIAN(G43:K43))</f>
        <v/>
      </c>
      <c r="M43" s="65">
        <f>IF(COUNT(G43:K43)=0,"",MIN(G43:K43))</f>
        <v/>
      </c>
      <c r="N43" s="65">
        <f>IF(COUNT(G43:K43)=0,"",MAX(G43:K43))</f>
        <v/>
      </c>
      <c r="O43" s="45">
        <f>IF(COUNT(G43:K43)&lt;2,"",IF(L43=0,"",(N43-M43)/L43))</f>
        <v/>
      </c>
      <c r="P43" s="5" t="n"/>
    </row>
    <row r="44">
      <c r="A44" s="46" t="inlineStr">
        <is>
          <t>S6</t>
        </is>
      </c>
      <c r="B44" s="46" t="inlineStr">
        <is>
          <t>Janky frames – Large account</t>
        </is>
      </c>
      <c r="C44" s="46" t="inlineStr">
        <is>
          <t>%</t>
        </is>
      </c>
      <c r="D44" s="46" t="inlineStr">
        <is>
          <t>INDmoney</t>
        </is>
      </c>
      <c r="E44" s="46" t="inlineStr">
        <is>
          <t>OPPO CPH3009</t>
        </is>
      </c>
      <c r="F44" s="41">
        <f>A44&amp;"|"&amp;D44&amp;"|"&amp;E44</f>
        <v/>
      </c>
      <c r="G44" s="63" t="n"/>
      <c r="H44" s="63" t="n"/>
      <c r="I44" s="63" t="n"/>
      <c r="J44" s="63" t="n"/>
      <c r="K44" s="63" t="n"/>
      <c r="L44" s="64">
        <f>IF(COUNT(G44:K44)=0,"",MEDIAN(G44:K44))</f>
        <v/>
      </c>
      <c r="M44" s="65">
        <f>IF(COUNT(G44:K44)=0,"",MIN(G44:K44))</f>
        <v/>
      </c>
      <c r="N44" s="65">
        <f>IF(COUNT(G44:K44)=0,"",MAX(G44:K44))</f>
        <v/>
      </c>
      <c r="O44" s="45">
        <f>IF(COUNT(G44:K44)&lt;2,"",IF(L44=0,"",(N44-M44)/L44))</f>
        <v/>
      </c>
      <c r="P44" s="5" t="n"/>
    </row>
    <row r="45">
      <c r="A45" s="46" t="inlineStr">
        <is>
          <t>S6</t>
        </is>
      </c>
      <c r="B45" s="46" t="inlineStr">
        <is>
          <t>Janky frames – Large account</t>
        </is>
      </c>
      <c r="C45" s="46" t="inlineStr">
        <is>
          <t>%</t>
        </is>
      </c>
      <c r="D45" s="46" t="inlineStr">
        <is>
          <t>Kotak Neo</t>
        </is>
      </c>
      <c r="E45" s="46" t="inlineStr">
        <is>
          <t>OPPO CPH3009</t>
        </is>
      </c>
      <c r="F45" s="41">
        <f>A45&amp;"|"&amp;D45&amp;"|"&amp;E45</f>
        <v/>
      </c>
      <c r="G45" s="63" t="n"/>
      <c r="H45" s="63" t="n"/>
      <c r="I45" s="63" t="n"/>
      <c r="J45" s="63" t="n"/>
      <c r="K45" s="63" t="n"/>
      <c r="L45" s="64">
        <f>IF(COUNT(G45:K45)=0,"",MEDIAN(G45:K45))</f>
        <v/>
      </c>
      <c r="M45" s="65">
        <f>IF(COUNT(G45:K45)=0,"",MIN(G45:K45))</f>
        <v/>
      </c>
      <c r="N45" s="65">
        <f>IF(COUNT(G45:K45)=0,"",MAX(G45:K45))</f>
        <v/>
      </c>
      <c r="O45" s="45">
        <f>IF(COUNT(G45:K45)&lt;2,"",IF(L45=0,"",(N45-M45)/L45))</f>
        <v/>
      </c>
      <c r="P45" s="5" t="n"/>
    </row>
    <row r="46">
      <c r="A46" s="46" t="inlineStr">
        <is>
          <t>S6</t>
        </is>
      </c>
      <c r="B46" s="46" t="inlineStr">
        <is>
          <t>Janky frames – Large account</t>
        </is>
      </c>
      <c r="C46" s="46" t="inlineStr">
        <is>
          <t>%</t>
        </is>
      </c>
      <c r="D46" s="46" t="inlineStr">
        <is>
          <t>SAHI</t>
        </is>
      </c>
      <c r="E46" s="46" t="inlineStr">
        <is>
          <t>OPPO CPH3009</t>
        </is>
      </c>
      <c r="F46" s="41">
        <f>A46&amp;"|"&amp;D46&amp;"|"&amp;E46</f>
        <v/>
      </c>
      <c r="G46" s="63" t="n"/>
      <c r="H46" s="63" t="n"/>
      <c r="I46" s="63" t="n"/>
      <c r="J46" s="63" t="n"/>
      <c r="K46" s="63" t="n"/>
      <c r="L46" s="64">
        <f>IF(COUNT(G46:K46)=0,"",MEDIAN(G46:K46))</f>
        <v/>
      </c>
      <c r="M46" s="65">
        <f>IF(COUNT(G46:K46)=0,"",MIN(G46:K46))</f>
        <v/>
      </c>
      <c r="N46" s="65">
        <f>IF(COUNT(G46:K46)=0,"",MAX(G46:K46))</f>
        <v/>
      </c>
      <c r="O46" s="45">
        <f>IF(COUNT(G46:K46)&lt;2,"",IF(L46=0,"",(N46-M46)/L46))</f>
        <v/>
      </c>
      <c r="P46" s="5" t="n"/>
    </row>
    <row r="47">
      <c r="A47" s="8" t="inlineStr">
        <is>
          <t>S7</t>
        </is>
      </c>
      <c r="B47" s="8" t="inlineStr">
        <is>
          <t>Gesture jank on non-list interactions of Watchlist tab &gt; Bench 20 (chart range, scrub, tab swipe)</t>
        </is>
      </c>
      <c r="C47" s="8" t="inlineStr">
        <is>
          <t>%</t>
        </is>
      </c>
      <c r="D47" s="8" t="inlineStr">
        <is>
          <t>RISE</t>
        </is>
      </c>
      <c r="E47" s="8" t="inlineStr">
        <is>
          <t>OPPO CPH3009</t>
        </is>
      </c>
      <c r="F47" s="41">
        <f>A47&amp;"|"&amp;D47&amp;"|"&amp;E47</f>
        <v/>
      </c>
      <c r="G47" s="63" t="n">
        <v>1.91</v>
      </c>
      <c r="H47" s="63" t="n">
        <v>1.2</v>
      </c>
      <c r="I47" s="63" t="n">
        <v>1.62</v>
      </c>
      <c r="J47" s="63" t="n">
        <v>2.02</v>
      </c>
      <c r="K47" s="63" t="n">
        <v>0.5600000000000001</v>
      </c>
      <c r="L47" s="64">
        <f>IF(COUNT(G47:K47)=0,"",MEDIAN(G47:K47))</f>
        <v/>
      </c>
      <c r="M47" s="65">
        <f>IF(COUNT(G47:K47)=0,"",MIN(G47:K47))</f>
        <v/>
      </c>
      <c r="N47" s="65">
        <f>IF(COUNT(G47:K47)=0,"",MAX(G47:K47))</f>
        <v/>
      </c>
      <c r="O47" s="45">
        <f>IF(COUNT(G47:K47)&lt;2,"",IF(L47=0,"",(N47-M47)/L47))</f>
        <v/>
      </c>
      <c r="P47" s="5" t="inlineStr">
        <is>
          <t>tab switch Bench 20 &lt;-&gt; neighbour list x3 (input tap 0.217 0.324, input tap 0.718 0.324, input tap 0.217 0.324, input ta</t>
        </is>
      </c>
    </row>
    <row r="48">
      <c r="A48" s="6" t="inlineStr">
        <is>
          <t>S7</t>
        </is>
      </c>
      <c r="B48" s="6" t="inlineStr">
        <is>
          <t>Gesture jank on non-list interactions of Watchlist tab &gt; Bench 20 (chart range, scrub, tab swipe)</t>
        </is>
      </c>
      <c r="C48" s="6" t="inlineStr">
        <is>
          <t>%</t>
        </is>
      </c>
      <c r="D48" s="6" t="inlineStr">
        <is>
          <t>Kite</t>
        </is>
      </c>
      <c r="E48" s="6" t="inlineStr">
        <is>
          <t>OPPO CPH3009</t>
        </is>
      </c>
      <c r="F48" s="41">
        <f>A48&amp;"|"&amp;D48&amp;"|"&amp;E48</f>
        <v/>
      </c>
      <c r="G48" s="63" t="n"/>
      <c r="H48" s="63" t="n"/>
      <c r="I48" s="63" t="n"/>
      <c r="J48" s="63" t="n"/>
      <c r="K48" s="63" t="n"/>
      <c r="L48" s="64">
        <f>IF(COUNT(G48:K48)=0,"",MEDIAN(G48:K48))</f>
        <v/>
      </c>
      <c r="M48" s="65">
        <f>IF(COUNT(G48:K48)=0,"",MIN(G48:K48))</f>
        <v/>
      </c>
      <c r="N48" s="65">
        <f>IF(COUNT(G48:K48)=0,"",MAX(G48:K48))</f>
        <v/>
      </c>
      <c r="O48" s="45">
        <f>IF(COUNT(G48:K48)&lt;2,"",IF(L48=0,"",(N48-M48)/L48))</f>
        <v/>
      </c>
      <c r="P48" s="5" t="n"/>
    </row>
    <row r="49">
      <c r="A49" s="6" t="inlineStr">
        <is>
          <t>S7</t>
        </is>
      </c>
      <c r="B49" s="6" t="inlineStr">
        <is>
          <t>Gesture jank on non-list interactions of Watchlist tab &gt; Bench 20 (chart range, scrub, tab swipe)</t>
        </is>
      </c>
      <c r="C49" s="6" t="inlineStr">
        <is>
          <t>%</t>
        </is>
      </c>
      <c r="D49" s="6" t="inlineStr">
        <is>
          <t>Groww</t>
        </is>
      </c>
      <c r="E49" s="6" t="inlineStr">
        <is>
          <t>OPPO CPH3009</t>
        </is>
      </c>
      <c r="F49" s="41">
        <f>A49&amp;"|"&amp;D49&amp;"|"&amp;E49</f>
        <v/>
      </c>
      <c r="G49" s="63" t="n">
        <v>10.27</v>
      </c>
      <c r="H49" s="63" t="n">
        <v>9.630000000000001</v>
      </c>
      <c r="I49" s="63" t="n">
        <v>9.039999999999999</v>
      </c>
      <c r="J49" s="63" t="n">
        <v>12.43</v>
      </c>
      <c r="K49" s="63" t="n">
        <v>10.22</v>
      </c>
      <c r="L49" s="64">
        <f>IF(COUNT(G49:K49)=0,"",MEDIAN(G49:K49))</f>
        <v/>
      </c>
      <c r="M49" s="65">
        <f>IF(COUNT(G49:K49)=0,"",MIN(G49:K49))</f>
        <v/>
      </c>
      <c r="N49" s="65">
        <f>IF(COUNT(G49:K49)=0,"",MAX(G49:K49))</f>
        <v/>
      </c>
      <c r="O49" s="45">
        <f>IF(COUNT(G49:K49)&lt;2,"",IF(L49=0,"",(N49-M49)/L49))</f>
        <v/>
      </c>
      <c r="P49" s="5" t="inlineStr">
        <is>
          <t>replaces 14.44 (run 4); tab switch Bench 20 &lt;-&gt; neighbour list x3 (input tap 0.234 0.219, input tap 0.855 0.219, input t | tab switch Bench 20 &lt;-&gt; neighbour list x3 (input tap 0.234 0.219, input tap 0.855 0.219, input tap 0.234 0.219, input ta</t>
        </is>
      </c>
    </row>
    <row r="50">
      <c r="A50" s="6" t="inlineStr">
        <is>
          <t>S7</t>
        </is>
      </c>
      <c r="B50" s="6" t="inlineStr">
        <is>
          <t>Gesture jank on non-list interactions of Watchlist tab &gt; Bench 20 (chart range, scrub, tab swipe)</t>
        </is>
      </c>
      <c r="C50" s="6" t="inlineStr">
        <is>
          <t>%</t>
        </is>
      </c>
      <c r="D50" s="6" t="inlineStr">
        <is>
          <t>Angel One</t>
        </is>
      </c>
      <c r="E50" s="6" t="inlineStr">
        <is>
          <t>OPPO CPH3009</t>
        </is>
      </c>
      <c r="F50" s="41">
        <f>A50&amp;"|"&amp;D50&amp;"|"&amp;E50</f>
        <v/>
      </c>
      <c r="G50" s="63" t="n">
        <v>6.54</v>
      </c>
      <c r="H50" s="63" t="n">
        <v>5.71</v>
      </c>
      <c r="I50" s="63" t="n">
        <v>5.75</v>
      </c>
      <c r="J50" s="63" t="n">
        <v>5.81</v>
      </c>
      <c r="K50" s="63" t="n">
        <v>6.82</v>
      </c>
      <c r="L50" s="64">
        <f>IF(COUNT(G50:K50)=0,"",MEDIAN(G50:K50))</f>
        <v/>
      </c>
      <c r="M50" s="65">
        <f>IF(COUNT(G50:K50)=0,"",MIN(G50:K50))</f>
        <v/>
      </c>
      <c r="N50" s="65">
        <f>IF(COUNT(G50:K50)=0,"",MAX(G50:K50))</f>
        <v/>
      </c>
      <c r="O50" s="45">
        <f>IF(COUNT(G50:K50)&lt;2,"",IF(L50=0,"",(N50-M50)/L50))</f>
        <v/>
      </c>
      <c r="P50" s="5" t="inlineStr">
        <is>
          <t xml:space="preserve">replaces 4.55 (run 5); tab switch Bench 20 &lt;-&gt; neighbour list x3 (input tap 0.339 0.240, input tap 0.593 0.240, input ta | replaces 7.51 (run 1); tab switch Bench 20 &lt;-&gt; neighbour list x3 (input tap 0.339 0.240, input tap 0.593 0.240, input ta | tab </t>
        </is>
      </c>
    </row>
    <row r="51">
      <c r="A51" s="6" t="inlineStr">
        <is>
          <t>S7</t>
        </is>
      </c>
      <c r="B51" s="6" t="inlineStr">
        <is>
          <t>Gesture jank on non-list interactions of Watchlist tab &gt; Bench 20 (chart range, scrub, tab swipe)</t>
        </is>
      </c>
      <c r="C51" s="6" t="inlineStr">
        <is>
          <t>%</t>
        </is>
      </c>
      <c r="D51" s="6" t="inlineStr">
        <is>
          <t>INDmoney</t>
        </is>
      </c>
      <c r="E51" s="6" t="inlineStr">
        <is>
          <t>OPPO CPH3009</t>
        </is>
      </c>
      <c r="F51" s="41">
        <f>A51&amp;"|"&amp;D51&amp;"|"&amp;E51</f>
        <v/>
      </c>
      <c r="G51" s="63" t="n">
        <v>8.710000000000001</v>
      </c>
      <c r="H51" s="63" t="n">
        <v>7.37</v>
      </c>
      <c r="I51" s="63" t="n">
        <v>7.61</v>
      </c>
      <c r="J51" s="63" t="n">
        <v>7.51</v>
      </c>
      <c r="K51" s="63" t="n">
        <v>7.98</v>
      </c>
      <c r="L51" s="64">
        <f>IF(COUNT(G51:K51)=0,"",MEDIAN(G51:K51))</f>
        <v/>
      </c>
      <c r="M51" s="65">
        <f>IF(COUNT(G51:K51)=0,"",MIN(G51:K51))</f>
        <v/>
      </c>
      <c r="N51" s="65">
        <f>IF(COUNT(G51:K51)=0,"",MAX(G51:K51))</f>
        <v/>
      </c>
      <c r="O51" s="45">
        <f>IF(COUNT(G51:K51)&lt;2,"",IF(L51=0,"",(N51-M51)/L51))</f>
        <v/>
      </c>
      <c r="P51" s="5" t="inlineStr">
        <is>
          <t>tab switch Bench 20 &lt;-&gt; neighbour list x3 (input tap 0.541 0.261, input tap 0.794 0.261, input tap 0.541 0.261, input ta</t>
        </is>
      </c>
    </row>
    <row r="52">
      <c r="A52" s="6" t="inlineStr">
        <is>
          <t>S7</t>
        </is>
      </c>
      <c r="B52" s="6" t="inlineStr">
        <is>
          <t>Gesture jank on non-list interactions of Watchlist tab &gt; Bench 20 (chart range, scrub, tab swipe)</t>
        </is>
      </c>
      <c r="C52" s="6" t="inlineStr">
        <is>
          <t>%</t>
        </is>
      </c>
      <c r="D52" s="6" t="inlineStr">
        <is>
          <t>Kotak Neo</t>
        </is>
      </c>
      <c r="E52" s="6" t="inlineStr">
        <is>
          <t>OPPO CPH3009</t>
        </is>
      </c>
      <c r="F52" s="41">
        <f>A52&amp;"|"&amp;D52&amp;"|"&amp;E52</f>
        <v/>
      </c>
      <c r="G52" s="63" t="n"/>
      <c r="H52" s="63" t="n"/>
      <c r="I52" s="63" t="n"/>
      <c r="J52" s="63" t="n"/>
      <c r="K52" s="63" t="n"/>
      <c r="L52" s="64">
        <f>IF(COUNT(G52:K52)=0,"",MEDIAN(G52:K52))</f>
        <v/>
      </c>
      <c r="M52" s="65">
        <f>IF(COUNT(G52:K52)=0,"",MIN(G52:K52))</f>
        <v/>
      </c>
      <c r="N52" s="65">
        <f>IF(COUNT(G52:K52)=0,"",MAX(G52:K52))</f>
        <v/>
      </c>
      <c r="O52" s="45">
        <f>IF(COUNT(G52:K52)&lt;2,"",IF(L52=0,"",(N52-M52)/L52))</f>
        <v/>
      </c>
      <c r="P52" s="5" t="n"/>
    </row>
    <row r="53">
      <c r="A53" s="6" t="inlineStr">
        <is>
          <t>S7</t>
        </is>
      </c>
      <c r="B53" s="6" t="inlineStr">
        <is>
          <t>Gesture jank on non-list interactions of Watchlist tab &gt; Bench 20 (chart range, scrub, tab swipe)</t>
        </is>
      </c>
      <c r="C53" s="6" t="inlineStr">
        <is>
          <t>%</t>
        </is>
      </c>
      <c r="D53" s="6" t="inlineStr">
        <is>
          <t>SAHI</t>
        </is>
      </c>
      <c r="E53" s="6" t="inlineStr">
        <is>
          <t>OPPO CPH3009</t>
        </is>
      </c>
      <c r="F53" s="41">
        <f>A53&amp;"|"&amp;D53&amp;"|"&amp;E53</f>
        <v/>
      </c>
      <c r="G53" s="63" t="n"/>
      <c r="H53" s="63" t="n"/>
      <c r="I53" s="63" t="n"/>
      <c r="J53" s="63" t="n"/>
      <c r="K53" s="63" t="n"/>
      <c r="L53" s="64">
        <f>IF(COUNT(G53:K53)=0,"",MEDIAN(G53:K53))</f>
        <v/>
      </c>
      <c r="M53" s="65">
        <f>IF(COUNT(G53:K53)=0,"",MIN(G53:K53))</f>
        <v/>
      </c>
      <c r="N53" s="65">
        <f>IF(COUNT(G53:K53)=0,"",MAX(G53:K53))</f>
        <v/>
      </c>
      <c r="O53" s="45">
        <f>IF(COUNT(G53:K53)&lt;2,"",IF(L53=0,"",(N53-M53)/L53))</f>
        <v/>
      </c>
      <c r="P53" s="5" t="n"/>
    </row>
  </sheetData>
  <autoFilter ref="A4:P53"/>
  <conditionalFormatting sqref="O5:O53">
    <cfRule type="cellIs" priority="1" operator="greaterThan" dxfId="4">
      <formula>0.2</formula>
    </cfRule>
  </conditionalFormatting>
  <dataValidations count="1">
    <dataValidation sqref="G5 G6 G7 G8 G9 G10 G11 G12 G13 G14 G15 G16 G17 G18 G19 G20 G21 G22 G23 G24 G25 G26 G27 G28 G29 G30 G31 G32 G33 G34 G35 G36 G37 G38 G39 G40 G41 G42 G43 G44 G45 G46 G47 G48 G49 G50 G51 G52 G53 H5 H6 H7 H8 H9 H10 H11 H12 H13 H14 H15 H16 H17 H18 H19 H20 H21 H22 H23 H24 H25 H26 H27 H28 H29 H30 H31 H32 H33 H34 H35 H36 H37 H38 H39 H40 H41 H42 H43 H44 H45 H46 H47 H48 H49 H50 H51 H52 H53 I5 I6 I7 I8 I9 I10 I11 I12 I13 I14 I15 I16 I17 I18 I19 I20 I21 I22 I23 I24 I25 I26 I27 I28 I29 I30 I31 I32 I33 I34 I35 I36 I37 I38 I39 I40 I41 I42 I43 I44 I45 I46 I47 I48 I49 I50 I51 I52 I53 J5 J6 J7 J8 J9 J10 J11 J12 J13 J14 J15 J16 J17 J18 J19 J20 J21 J22 J23 J24 J25 J26 J27 J28 J29 J30 J31 J32 J33 J34 J35 J36 J37 J38 J39 J40 J41 J42 J43 J44 J45 J46 J47 J48 J49 J50 J51 J52 J53 K5 K6 K7 K8 K9 K10 K11 K12 K13 K14 K15 K16 K17 K18 K19 K20 K21 K22 K23 K24 K25 K26 K27 K28 K29 K30 K31 K32 K33 K34 K35 K36 K37 K38 K39 K40 K41 K42 K43 K44 K45 K46 K47 K48 K49 K50 K51 K52 K53" showDropDown="0" showInputMessage="0" showErrorMessage="1" allowBlank="1" error="Enter a number (no units)." type="decimal"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tabColor rgb="00FFC000"/>
    <outlinePr summaryBelow="1" summaryRight="1"/>
    <pageSetUpPr/>
  </sheetPr>
  <dimension ref="A1:P39"/>
  <sheetViews>
    <sheetView showGridLines="0" workbookViewId="0">
      <pane xSplit="6" ySplit="4" topLeftCell="G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6" customWidth="1" min="2" max="2"/>
    <col width="7" customWidth="1" min="3" max="3"/>
    <col width="13" customWidth="1" min="4" max="4"/>
    <col width="22" customWidth="1" min="5" max="5"/>
    <col width="14" customWidth="1" min="6" max="6"/>
    <col width="9" customWidth="1" min="7" max="7"/>
    <col width="9" customWidth="1" min="8" max="8"/>
    <col width="9" customWidth="1" min="9" max="9"/>
    <col width="9" customWidth="1" min="10" max="10"/>
    <col width="9" customWidth="1" min="11" max="11"/>
    <col width="10" customWidth="1" min="12" max="12"/>
    <col width="9" customWidth="1" min="13" max="13"/>
    <col width="9" customWidth="1" min="14" max="14"/>
    <col width="10" customWidth="1" min="15" max="15"/>
    <col width="36" customWidth="1" min="16" max="16"/>
  </cols>
  <sheetData>
    <row r="1">
      <c r="A1" s="1" t="inlineStr">
        <is>
          <t>3 Screen Updates</t>
        </is>
      </c>
    </row>
    <row r="2">
      <c r="A2" s="2" t="inlineStr">
        <is>
          <t>Live screen updation during market hours (09:15–15:30 IST), idle redraw rate and wasted redraws.</t>
        </is>
      </c>
    </row>
    <row r="4" ht="32" customHeight="1">
      <c r="A4" s="10" t="inlineStr">
        <is>
          <t>ID</t>
        </is>
      </c>
      <c r="B4" s="10" t="inlineStr">
        <is>
          <t>Metric</t>
        </is>
      </c>
      <c r="C4" s="10" t="inlineStr">
        <is>
          <t>Unit</t>
        </is>
      </c>
      <c r="D4" s="10" t="inlineStr">
        <is>
          <t>App</t>
        </is>
      </c>
      <c r="E4" s="10" t="inlineStr">
        <is>
          <t>Device</t>
        </is>
      </c>
      <c r="F4" s="10" t="inlineStr">
        <is>
          <t>Lookup key</t>
        </is>
      </c>
      <c r="G4" s="10" t="inlineStr">
        <is>
          <t>Run 1</t>
        </is>
      </c>
      <c r="H4" s="10" t="inlineStr">
        <is>
          <t>Run 2</t>
        </is>
      </c>
      <c r="I4" s="10" t="inlineStr">
        <is>
          <t>Run 3</t>
        </is>
      </c>
      <c r="J4" s="10" t="inlineStr">
        <is>
          <t>Run 4</t>
        </is>
      </c>
      <c r="K4" s="10" t="inlineStr">
        <is>
          <t>Run 5</t>
        </is>
      </c>
      <c r="L4" s="10" t="inlineStr">
        <is>
          <t>Median</t>
        </is>
      </c>
      <c r="M4" s="10" t="inlineStr">
        <is>
          <t>Min</t>
        </is>
      </c>
      <c r="N4" s="10" t="inlineStr">
        <is>
          <t>Max</t>
        </is>
      </c>
      <c r="O4" s="10" t="inlineStr">
        <is>
          <t>Variation</t>
        </is>
      </c>
      <c r="P4" s="10" t="inlineStr">
        <is>
          <t>Notes</t>
        </is>
      </c>
    </row>
    <row r="5">
      <c r="A5" s="8" t="inlineStr">
        <is>
          <t>U1</t>
        </is>
      </c>
      <c r="B5" s="8" t="inlineStr">
        <is>
          <t>LTP updates per minute on Watchlist tab &gt; Bench 20 (same symbol, market hours)</t>
        </is>
      </c>
      <c r="C5" s="8" t="inlineStr">
        <is>
          <t>/min</t>
        </is>
      </c>
      <c r="D5" s="8" t="inlineStr">
        <is>
          <t>RISE</t>
        </is>
      </c>
      <c r="E5" s="8" t="inlineStr">
        <is>
          <t>OPPO CPH3009</t>
        </is>
      </c>
      <c r="F5" s="41">
        <f>A5&amp;"|"&amp;D5&amp;"|"&amp;E5</f>
        <v/>
      </c>
      <c r="G5" s="63" t="n">
        <v>17</v>
      </c>
      <c r="H5" s="63" t="n"/>
      <c r="I5" s="63" t="n"/>
      <c r="J5" s="63" t="n"/>
      <c r="K5" s="63" t="n"/>
      <c r="L5" s="64">
        <f>IF(COUNT(G5:K5)=0,"",MEDIAN(G5:K5))</f>
        <v/>
      </c>
      <c r="M5" s="65">
        <f>IF(COUNT(G5:K5)=0,"",MIN(G5:K5))</f>
        <v/>
      </c>
      <c r="N5" s="65">
        <f>IF(COUNT(G5:K5)=0,"",MAX(G5:K5))</f>
        <v/>
      </c>
      <c r="O5" s="45">
        <f>IF(COUNT(G5:K5)&lt;2,"",IF(L5=0,"",(N5-M5)/L5))</f>
        <v/>
      </c>
      <c r="P5" s="5" t="inlineStr">
        <is>
          <t>RISE blocks screen capture: filmed with the MacBook camera (phone propped, 2 min, 13:38), only the RELIANCE price cut-ou</t>
        </is>
      </c>
    </row>
    <row r="6">
      <c r="A6" s="6" t="inlineStr">
        <is>
          <t>U1</t>
        </is>
      </c>
      <c r="B6" s="6" t="inlineStr">
        <is>
          <t>LTP updates per minute on Watchlist tab &gt; Bench 20 (same symbol, market hours)</t>
        </is>
      </c>
      <c r="C6" s="6" t="inlineStr">
        <is>
          <t>/min</t>
        </is>
      </c>
      <c r="D6" s="6" t="inlineStr">
        <is>
          <t>Kite</t>
        </is>
      </c>
      <c r="E6" s="6" t="inlineStr">
        <is>
          <t>OPPO CPH3009</t>
        </is>
      </c>
      <c r="F6" s="41">
        <f>A6&amp;"|"&amp;D6&amp;"|"&amp;E6</f>
        <v/>
      </c>
      <c r="G6" s="63" t="n">
        <v>31.9</v>
      </c>
      <c r="H6" s="63" t="n">
        <v>38.5</v>
      </c>
      <c r="I6" s="63" t="n"/>
      <c r="J6" s="63" t="n"/>
      <c r="K6" s="63" t="n"/>
      <c r="L6" s="64">
        <f>IF(COUNT(G6:K6)=0,"",MEDIAN(G6:K6))</f>
        <v/>
      </c>
      <c r="M6" s="65">
        <f>IF(COUNT(G6:K6)=0,"",MIN(G6:K6))</f>
        <v/>
      </c>
      <c r="N6" s="65">
        <f>IF(COUNT(G6:K6)=0,"",MAX(G6:K6))</f>
        <v/>
      </c>
      <c r="O6" s="45">
        <f>IF(COUNT(G6:K6)&lt;2,"",IF(L6=0,"",(N6-M6)/L6))</f>
        <v/>
      </c>
      <c r="P6" s="5" t="inlineStr">
        <is>
          <t>RELIANCE LTP on Bench 20, 2-min screenrecord, price box 270x70+790+1585 sampled at 10 fps, 64 changes (debounce 0.3 s) | RELIANCE LTP on Bench 20, 2-min screenrecord, price box 270x70+790+1585 sampled at 10 fps, 77 changes (debounce 0.3 s)</t>
        </is>
      </c>
    </row>
    <row r="7">
      <c r="A7" s="6" t="inlineStr">
        <is>
          <t>U1</t>
        </is>
      </c>
      <c r="B7" s="6" t="inlineStr">
        <is>
          <t>LTP updates per minute on Watchlist tab &gt; Bench 20 (same symbol, market hours)</t>
        </is>
      </c>
      <c r="C7" s="6" t="inlineStr">
        <is>
          <t>/min</t>
        </is>
      </c>
      <c r="D7" s="6" t="inlineStr">
        <is>
          <t>Groww</t>
        </is>
      </c>
      <c r="E7" s="6" t="inlineStr">
        <is>
          <t>OPPO CPH3009</t>
        </is>
      </c>
      <c r="F7" s="41">
        <f>A7&amp;"|"&amp;D7&amp;"|"&amp;E7</f>
        <v/>
      </c>
      <c r="G7" s="63" t="n">
        <v>22</v>
      </c>
      <c r="H7" s="63" t="n"/>
      <c r="I7" s="63" t="n"/>
      <c r="J7" s="63" t="n"/>
      <c r="K7" s="63" t="n"/>
      <c r="L7" s="64">
        <f>IF(COUNT(G7:K7)=0,"",MEDIAN(G7:K7))</f>
        <v/>
      </c>
      <c r="M7" s="65">
        <f>IF(COUNT(G7:K7)=0,"",MIN(G7:K7))</f>
        <v/>
      </c>
      <c r="N7" s="65">
        <f>IF(COUNT(G7:K7)=0,"",MAX(G7:K7))</f>
        <v/>
      </c>
      <c r="O7" s="45">
        <f>IF(COUNT(G7:K7)&lt;2,"",IF(L7=0,"",(N7-M7)/L7))</f>
        <v/>
      </c>
      <c r="P7" s="5" t="inlineStr">
        <is>
          <t>RELIANCE LTP on Bench 20, 2-min screenrecord, price box 220x64+820+1048 sampled at 10 fps, 44 changes (debounce 0.3 s)</t>
        </is>
      </c>
    </row>
    <row r="8">
      <c r="A8" s="6" t="inlineStr">
        <is>
          <t>U1</t>
        </is>
      </c>
      <c r="B8" s="6" t="inlineStr">
        <is>
          <t>LTP updates per minute on Watchlist tab &gt; Bench 20 (same symbol, market hours)</t>
        </is>
      </c>
      <c r="C8" s="6" t="inlineStr">
        <is>
          <t>/min</t>
        </is>
      </c>
      <c r="D8" s="6" t="inlineStr">
        <is>
          <t>Angel One</t>
        </is>
      </c>
      <c r="E8" s="6" t="inlineStr">
        <is>
          <t>OPPO CPH3009</t>
        </is>
      </c>
      <c r="F8" s="41">
        <f>A8&amp;"|"&amp;D8&amp;"|"&amp;E8</f>
        <v/>
      </c>
      <c r="G8" s="63" t="n">
        <v>32</v>
      </c>
      <c r="H8" s="63" t="n"/>
      <c r="I8" s="63" t="n"/>
      <c r="J8" s="63" t="n"/>
      <c r="K8" s="63" t="n"/>
      <c r="L8" s="64">
        <f>IF(COUNT(G8:K8)=0,"",MEDIAN(G8:K8))</f>
        <v/>
      </c>
      <c r="M8" s="65">
        <f>IF(COUNT(G8:K8)=0,"",MIN(G8:K8))</f>
        <v/>
      </c>
      <c r="N8" s="65">
        <f>IF(COUNT(G8:K8)=0,"",MAX(G8:K8))</f>
        <v/>
      </c>
      <c r="O8" s="45">
        <f>IF(COUNT(G8:K8)&lt;2,"",IF(L8=0,"",(N8-M8)/L8))</f>
        <v/>
      </c>
      <c r="P8" s="5" t="inlineStr">
        <is>
          <t>replaces 18.5 (run 1); RELIANCE LTP on Bench 20, 2-min screenrecord, price box 220x66+830+1428 sampled at 10 fps, 64 cha</t>
        </is>
      </c>
    </row>
    <row r="9">
      <c r="A9" s="6" t="inlineStr">
        <is>
          <t>U1</t>
        </is>
      </c>
      <c r="B9" s="6" t="inlineStr">
        <is>
          <t>LTP updates per minute on Watchlist tab &gt; Bench 20 (same symbol, market hours)</t>
        </is>
      </c>
      <c r="C9" s="6" t="inlineStr">
        <is>
          <t>/min</t>
        </is>
      </c>
      <c r="D9" s="6" t="inlineStr">
        <is>
          <t>INDmoney</t>
        </is>
      </c>
      <c r="E9" s="6" t="inlineStr">
        <is>
          <t>OPPO CPH3009</t>
        </is>
      </c>
      <c r="F9" s="41">
        <f>A9&amp;"|"&amp;D9&amp;"|"&amp;E9</f>
        <v/>
      </c>
      <c r="G9" s="63" t="n">
        <v>42.9</v>
      </c>
      <c r="H9" s="63" t="n"/>
      <c r="I9" s="63" t="n"/>
      <c r="J9" s="63" t="n"/>
      <c r="K9" s="63" t="n"/>
      <c r="L9" s="64">
        <f>IF(COUNT(G9:K9)=0,"",MEDIAN(G9:K9))</f>
        <v/>
      </c>
      <c r="M9" s="65">
        <f>IF(COUNT(G9:K9)=0,"",MIN(G9:K9))</f>
        <v/>
      </c>
      <c r="N9" s="65">
        <f>IF(COUNT(G9:K9)=0,"",MAX(G9:K9))</f>
        <v/>
      </c>
      <c r="O9" s="45">
        <f>IF(COUNT(G9:K9)&lt;2,"",IF(L9=0,"",(N9-M9)/L9))</f>
        <v/>
      </c>
      <c r="P9" s="5" t="inlineStr">
        <is>
          <t>RELIANCE LTP on Bench 20, 2-min screenrecord, price box 190x60+850+1906 sampled at 10 fps, 86 changes (debounce 0.3 s)</t>
        </is>
      </c>
    </row>
    <row r="10">
      <c r="A10" s="6" t="inlineStr">
        <is>
          <t>U1</t>
        </is>
      </c>
      <c r="B10" s="6" t="inlineStr">
        <is>
          <t>LTP updates per minute on Watchlist tab &gt; Bench 20 (same symbol, market hours)</t>
        </is>
      </c>
      <c r="C10" s="6" t="inlineStr">
        <is>
          <t>/min</t>
        </is>
      </c>
      <c r="D10" s="6" t="inlineStr">
        <is>
          <t>Kotak Neo</t>
        </is>
      </c>
      <c r="E10" s="6" t="inlineStr">
        <is>
          <t>OPPO CPH3009</t>
        </is>
      </c>
      <c r="F10" s="41">
        <f>A10&amp;"|"&amp;D10&amp;"|"&amp;E10</f>
        <v/>
      </c>
      <c r="G10" s="63" t="n">
        <v>33.5</v>
      </c>
      <c r="H10" s="63" t="n"/>
      <c r="I10" s="63" t="n"/>
      <c r="J10" s="63" t="n"/>
      <c r="K10" s="63" t="n"/>
      <c r="L10" s="64">
        <f>IF(COUNT(G10:K10)=0,"",MEDIAN(G10:K10))</f>
        <v/>
      </c>
      <c r="M10" s="65">
        <f>IF(COUNT(G10:K10)=0,"",MIN(G10:K10))</f>
        <v/>
      </c>
      <c r="N10" s="65">
        <f>IF(COUNT(G10:K10)=0,"",MAX(G10:K10))</f>
        <v/>
      </c>
      <c r="O10" s="45">
        <f>IF(COUNT(G10:K10)&lt;2,"",IF(L10=0,"",(N10-M10)/L10))</f>
        <v/>
      </c>
      <c r="P10" s="5" t="inlineStr">
        <is>
          <t>RELIANCE LTP on Bench 20, 2-min screenrecord, price box 180x56+860+1094 sampled at 10 fps, 67 changes (debounce 0.3 s)</t>
        </is>
      </c>
    </row>
    <row r="11">
      <c r="A11" s="6" t="inlineStr">
        <is>
          <t>U1</t>
        </is>
      </c>
      <c r="B11" s="6" t="inlineStr">
        <is>
          <t>LTP updates per minute on Watchlist tab &gt; Bench 20 (same symbol, market hours)</t>
        </is>
      </c>
      <c r="C11" s="6" t="inlineStr">
        <is>
          <t>/min</t>
        </is>
      </c>
      <c r="D11" s="6" t="inlineStr">
        <is>
          <t>SAHI</t>
        </is>
      </c>
      <c r="E11" s="6" t="inlineStr">
        <is>
          <t>OPPO CPH3009</t>
        </is>
      </c>
      <c r="F11" s="41">
        <f>A11&amp;"|"&amp;D11&amp;"|"&amp;E11</f>
        <v/>
      </c>
      <c r="G11" s="63" t="n">
        <v>39.5</v>
      </c>
      <c r="H11" s="63" t="n"/>
      <c r="I11" s="63" t="n"/>
      <c r="J11" s="63" t="n"/>
      <c r="K11" s="63" t="n"/>
      <c r="L11" s="64">
        <f>IF(COUNT(G11:K11)=0,"",MEDIAN(G11:K11))</f>
        <v/>
      </c>
      <c r="M11" s="65">
        <f>IF(COUNT(G11:K11)=0,"",MIN(G11:K11))</f>
        <v/>
      </c>
      <c r="N11" s="65">
        <f>IF(COUNT(G11:K11)=0,"",MAX(G11:K11))</f>
        <v/>
      </c>
      <c r="O11" s="45">
        <f>IF(COUNT(G11:K11)&lt;2,"",IF(L11=0,"",(N11-M11)/L11))</f>
        <v/>
      </c>
      <c r="P11" s="5" t="inlineStr">
        <is>
          <t>RELIANCE LTP on Bench 20, 2-min screenrecord, price box 210x60+830+922 sampled at 10 fps, 79 changes (debounce 0.3 s)</t>
        </is>
      </c>
    </row>
    <row r="12">
      <c r="A12" s="8" t="inlineStr">
        <is>
          <t>U2</t>
        </is>
      </c>
      <c r="B12" s="8" t="inlineStr">
        <is>
          <t>Tick lag vs reference feed</t>
        </is>
      </c>
      <c r="C12" s="8" t="inlineStr">
        <is>
          <t>ms</t>
        </is>
      </c>
      <c r="D12" s="8" t="inlineStr">
        <is>
          <t>RISE</t>
        </is>
      </c>
      <c r="E12" s="8" t="inlineStr">
        <is>
          <t>OPPO CPH3009</t>
        </is>
      </c>
      <c r="F12" s="41">
        <f>A12&amp;"|"&amp;D12&amp;"|"&amp;E12</f>
        <v/>
      </c>
      <c r="G12" s="63" t="n"/>
      <c r="H12" s="63" t="n"/>
      <c r="I12" s="63" t="n"/>
      <c r="J12" s="63" t="n"/>
      <c r="K12" s="63" t="n"/>
      <c r="L12" s="64">
        <f>IF(COUNT(G12:K12)=0,"",MEDIAN(G12:K12))</f>
        <v/>
      </c>
      <c r="M12" s="65">
        <f>IF(COUNT(G12:K12)=0,"",MIN(G12:K12))</f>
        <v/>
      </c>
      <c r="N12" s="65">
        <f>IF(COUNT(G12:K12)=0,"",MAX(G12:K12))</f>
        <v/>
      </c>
      <c r="O12" s="45">
        <f>IF(COUNT(G12:K12)&lt;2,"",IF(L12=0,"",(N12-M12)/L12))</f>
        <v/>
      </c>
      <c r="P12" s="5" t="n"/>
    </row>
    <row r="13">
      <c r="A13" s="46" t="inlineStr">
        <is>
          <t>U2</t>
        </is>
      </c>
      <c r="B13" s="46" t="inlineStr">
        <is>
          <t>Tick lag vs reference feed</t>
        </is>
      </c>
      <c r="C13" s="46" t="inlineStr">
        <is>
          <t>ms</t>
        </is>
      </c>
      <c r="D13" s="46" t="inlineStr">
        <is>
          <t>Kite</t>
        </is>
      </c>
      <c r="E13" s="46" t="inlineStr">
        <is>
          <t>OPPO CPH3009</t>
        </is>
      </c>
      <c r="F13" s="41">
        <f>A13&amp;"|"&amp;D13&amp;"|"&amp;E13</f>
        <v/>
      </c>
      <c r="G13" s="63" t="n"/>
      <c r="H13" s="63" t="n"/>
      <c r="I13" s="63" t="n"/>
      <c r="J13" s="63" t="n"/>
      <c r="K13" s="63" t="n"/>
      <c r="L13" s="64">
        <f>IF(COUNT(G13:K13)=0,"",MEDIAN(G13:K13))</f>
        <v/>
      </c>
      <c r="M13" s="65">
        <f>IF(COUNT(G13:K13)=0,"",MIN(G13:K13))</f>
        <v/>
      </c>
      <c r="N13" s="65">
        <f>IF(COUNT(G13:K13)=0,"",MAX(G13:K13))</f>
        <v/>
      </c>
      <c r="O13" s="45">
        <f>IF(COUNT(G13:K13)&lt;2,"",IF(L13=0,"",(N13-M13)/L13))</f>
        <v/>
      </c>
      <c r="P13" s="5" t="n"/>
    </row>
    <row r="14">
      <c r="A14" s="46" t="inlineStr">
        <is>
          <t>U2</t>
        </is>
      </c>
      <c r="B14" s="46" t="inlineStr">
        <is>
          <t>Tick lag vs reference feed</t>
        </is>
      </c>
      <c r="C14" s="46" t="inlineStr">
        <is>
          <t>ms</t>
        </is>
      </c>
      <c r="D14" s="46" t="inlineStr">
        <is>
          <t>Groww</t>
        </is>
      </c>
      <c r="E14" s="46" t="inlineStr">
        <is>
          <t>OPPO CPH3009</t>
        </is>
      </c>
      <c r="F14" s="41">
        <f>A14&amp;"|"&amp;D14&amp;"|"&amp;E14</f>
        <v/>
      </c>
      <c r="G14" s="63" t="n"/>
      <c r="H14" s="63" t="n"/>
      <c r="I14" s="63" t="n"/>
      <c r="J14" s="63" t="n"/>
      <c r="K14" s="63" t="n"/>
      <c r="L14" s="64">
        <f>IF(COUNT(G14:K14)=0,"",MEDIAN(G14:K14))</f>
        <v/>
      </c>
      <c r="M14" s="65">
        <f>IF(COUNT(G14:K14)=0,"",MIN(G14:K14))</f>
        <v/>
      </c>
      <c r="N14" s="65">
        <f>IF(COUNT(G14:K14)=0,"",MAX(G14:K14))</f>
        <v/>
      </c>
      <c r="O14" s="45">
        <f>IF(COUNT(G14:K14)&lt;2,"",IF(L14=0,"",(N14-M14)/L14))</f>
        <v/>
      </c>
      <c r="P14" s="5" t="n"/>
    </row>
    <row r="15">
      <c r="A15" s="46" t="inlineStr">
        <is>
          <t>U2</t>
        </is>
      </c>
      <c r="B15" s="46" t="inlineStr">
        <is>
          <t>Tick lag vs reference feed</t>
        </is>
      </c>
      <c r="C15" s="46" t="inlineStr">
        <is>
          <t>ms</t>
        </is>
      </c>
      <c r="D15" s="46" t="inlineStr">
        <is>
          <t>Angel One</t>
        </is>
      </c>
      <c r="E15" s="46" t="inlineStr">
        <is>
          <t>OPPO CPH3009</t>
        </is>
      </c>
      <c r="F15" s="41">
        <f>A15&amp;"|"&amp;D15&amp;"|"&amp;E15</f>
        <v/>
      </c>
      <c r="G15" s="63" t="n"/>
      <c r="H15" s="63" t="n"/>
      <c r="I15" s="63" t="n"/>
      <c r="J15" s="63" t="n"/>
      <c r="K15" s="63" t="n"/>
      <c r="L15" s="64">
        <f>IF(COUNT(G15:K15)=0,"",MEDIAN(G15:K15))</f>
        <v/>
      </c>
      <c r="M15" s="65">
        <f>IF(COUNT(G15:K15)=0,"",MIN(G15:K15))</f>
        <v/>
      </c>
      <c r="N15" s="65">
        <f>IF(COUNT(G15:K15)=0,"",MAX(G15:K15))</f>
        <v/>
      </c>
      <c r="O15" s="45">
        <f>IF(COUNT(G15:K15)&lt;2,"",IF(L15=0,"",(N15-M15)/L15))</f>
        <v/>
      </c>
      <c r="P15" s="5" t="n"/>
    </row>
    <row r="16">
      <c r="A16" s="46" t="inlineStr">
        <is>
          <t>U2</t>
        </is>
      </c>
      <c r="B16" s="46" t="inlineStr">
        <is>
          <t>Tick lag vs reference feed</t>
        </is>
      </c>
      <c r="C16" s="46" t="inlineStr">
        <is>
          <t>ms</t>
        </is>
      </c>
      <c r="D16" s="46" t="inlineStr">
        <is>
          <t>INDmoney</t>
        </is>
      </c>
      <c r="E16" s="46" t="inlineStr">
        <is>
          <t>OPPO CPH3009</t>
        </is>
      </c>
      <c r="F16" s="41">
        <f>A16&amp;"|"&amp;D16&amp;"|"&amp;E16</f>
        <v/>
      </c>
      <c r="G16" s="63" t="n"/>
      <c r="H16" s="63" t="n"/>
      <c r="I16" s="63" t="n"/>
      <c r="J16" s="63" t="n"/>
      <c r="K16" s="63" t="n"/>
      <c r="L16" s="64">
        <f>IF(COUNT(G16:K16)=0,"",MEDIAN(G16:K16))</f>
        <v/>
      </c>
      <c r="M16" s="65">
        <f>IF(COUNT(G16:K16)=0,"",MIN(G16:K16))</f>
        <v/>
      </c>
      <c r="N16" s="65">
        <f>IF(COUNT(G16:K16)=0,"",MAX(G16:K16))</f>
        <v/>
      </c>
      <c r="O16" s="45">
        <f>IF(COUNT(G16:K16)&lt;2,"",IF(L16=0,"",(N16-M16)/L16))</f>
        <v/>
      </c>
      <c r="P16" s="5" t="n"/>
    </row>
    <row r="17">
      <c r="A17" s="46" t="inlineStr">
        <is>
          <t>U2</t>
        </is>
      </c>
      <c r="B17" s="46" t="inlineStr">
        <is>
          <t>Tick lag vs reference feed</t>
        </is>
      </c>
      <c r="C17" s="46" t="inlineStr">
        <is>
          <t>ms</t>
        </is>
      </c>
      <c r="D17" s="46" t="inlineStr">
        <is>
          <t>Kotak Neo</t>
        </is>
      </c>
      <c r="E17" s="46" t="inlineStr">
        <is>
          <t>OPPO CPH3009</t>
        </is>
      </c>
      <c r="F17" s="41">
        <f>A17&amp;"|"&amp;D17&amp;"|"&amp;E17</f>
        <v/>
      </c>
      <c r="G17" s="63" t="n"/>
      <c r="H17" s="63" t="n"/>
      <c r="I17" s="63" t="n"/>
      <c r="J17" s="63" t="n"/>
      <c r="K17" s="63" t="n"/>
      <c r="L17" s="64">
        <f>IF(COUNT(G17:K17)=0,"",MEDIAN(G17:K17))</f>
        <v/>
      </c>
      <c r="M17" s="65">
        <f>IF(COUNT(G17:K17)=0,"",MIN(G17:K17))</f>
        <v/>
      </c>
      <c r="N17" s="65">
        <f>IF(COUNT(G17:K17)=0,"",MAX(G17:K17))</f>
        <v/>
      </c>
      <c r="O17" s="45">
        <f>IF(COUNT(G17:K17)&lt;2,"",IF(L17=0,"",(N17-M17)/L17))</f>
        <v/>
      </c>
      <c r="P17" s="5" t="n"/>
    </row>
    <row r="18">
      <c r="A18" s="46" t="inlineStr">
        <is>
          <t>U2</t>
        </is>
      </c>
      <c r="B18" s="46" t="inlineStr">
        <is>
          <t>Tick lag vs reference feed</t>
        </is>
      </c>
      <c r="C18" s="46" t="inlineStr">
        <is>
          <t>ms</t>
        </is>
      </c>
      <c r="D18" s="46" t="inlineStr">
        <is>
          <t>SAHI</t>
        </is>
      </c>
      <c r="E18" s="46" t="inlineStr">
        <is>
          <t>OPPO CPH3009</t>
        </is>
      </c>
      <c r="F18" s="41">
        <f>A18&amp;"|"&amp;D18&amp;"|"&amp;E18</f>
        <v/>
      </c>
      <c r="G18" s="63" t="n"/>
      <c r="H18" s="63" t="n"/>
      <c r="I18" s="63" t="n"/>
      <c r="J18" s="63" t="n"/>
      <c r="K18" s="63" t="n"/>
      <c r="L18" s="64">
        <f>IF(COUNT(G18:K18)=0,"",MEDIAN(G18:K18))</f>
        <v/>
      </c>
      <c r="M18" s="65">
        <f>IF(COUNT(G18:K18)=0,"",MIN(G18:K18))</f>
        <v/>
      </c>
      <c r="N18" s="65">
        <f>IF(COUNT(G18:K18)=0,"",MAX(G18:K18))</f>
        <v/>
      </c>
      <c r="O18" s="45">
        <f>IF(COUNT(G18:K18)&lt;2,"",IF(L18=0,"",(N18-M18)/L18))</f>
        <v/>
      </c>
      <c r="P18" s="5" t="n"/>
    </row>
    <row r="19">
      <c r="A19" s="8" t="inlineStr">
        <is>
          <t>U3</t>
        </is>
      </c>
      <c r="B19" s="8" t="inlineStr">
        <is>
          <t>Live updates resume after 1 min in background</t>
        </is>
      </c>
      <c r="C19" s="8" t="inlineStr">
        <is>
          <t>ms</t>
        </is>
      </c>
      <c r="D19" s="8" t="inlineStr">
        <is>
          <t>RISE</t>
        </is>
      </c>
      <c r="E19" s="8" t="inlineStr">
        <is>
          <t>OPPO CPH3009</t>
        </is>
      </c>
      <c r="F19" s="41">
        <f>A19&amp;"|"&amp;D19&amp;"|"&amp;E19</f>
        <v/>
      </c>
      <c r="G19" s="63" t="n">
        <v>1000</v>
      </c>
      <c r="H19" s="63" t="n"/>
      <c r="I19" s="63" t="n"/>
      <c r="J19" s="63" t="n"/>
      <c r="K19" s="63" t="n"/>
      <c r="L19" s="64">
        <f>IF(COUNT(G19:K19)=0,"",MEDIAN(G19:K19))</f>
        <v/>
      </c>
      <c r="M19" s="65">
        <f>IF(COUNT(G19:K19)=0,"",MIN(G19:K19))</f>
        <v/>
      </c>
      <c r="N19" s="65">
        <f>IF(COUNT(G19:K19)=0,"",MAX(G19:K19))</f>
        <v/>
      </c>
      <c r="O19" s="45">
        <f>IF(COUNT(G19:K19)&lt;2,"",IF(L19=0,"",(N19-M19)/L19))</f>
        <v/>
      </c>
      <c r="P19" s="5" t="inlineStr">
        <is>
          <t>RISE blocks screen capture: MacBook camera (phone screen area only), 60 s in background then relaunch. RISE reappeared s</t>
        </is>
      </c>
    </row>
    <row r="20">
      <c r="A20" s="6" t="inlineStr">
        <is>
          <t>U3</t>
        </is>
      </c>
      <c r="B20" s="6" t="inlineStr">
        <is>
          <t>Live updates resume after 1 min in background</t>
        </is>
      </c>
      <c r="C20" s="6" t="inlineStr">
        <is>
          <t>ms</t>
        </is>
      </c>
      <c r="D20" s="6" t="inlineStr">
        <is>
          <t>Kite</t>
        </is>
      </c>
      <c r="E20" s="6" t="inlineStr">
        <is>
          <t>OPPO CPH3009</t>
        </is>
      </c>
      <c r="F20" s="41">
        <f>A20&amp;"|"&amp;D20&amp;"|"&amp;E20</f>
        <v/>
      </c>
      <c r="G20" s="63" t="n">
        <v>3400</v>
      </c>
      <c r="H20" s="63" t="n"/>
      <c r="I20" s="63" t="n"/>
      <c r="J20" s="63" t="n"/>
      <c r="K20" s="63" t="n"/>
      <c r="L20" s="64">
        <f>IF(COUNT(G20:K20)=0,"",MEDIAN(G20:K20))</f>
        <v/>
      </c>
      <c r="M20" s="65">
        <f>IF(COUNT(G20:K20)=0,"",MIN(G20:K20))</f>
        <v/>
      </c>
      <c r="N20" s="65">
        <f>IF(COUNT(G20:K20)=0,"",MAX(G20:K20))</f>
        <v/>
      </c>
      <c r="O20" s="45">
        <f>IF(COUNT(G20:K20)&lt;2,"",IF(L20=0,"",(N20-M20)/L20))</f>
        <v/>
      </c>
      <c r="P20" s="5" t="inlineStr">
        <is>
          <t>60 s in background (Home), relaunch; screenrecord at 20 fps, RELIANCE price box 270x70+790+915; app back with price at 0</t>
        </is>
      </c>
    </row>
    <row r="21">
      <c r="A21" s="6" t="inlineStr">
        <is>
          <t>U3</t>
        </is>
      </c>
      <c r="B21" s="6" t="inlineStr">
        <is>
          <t>Live updates resume after 1 min in background</t>
        </is>
      </c>
      <c r="C21" s="6" t="inlineStr">
        <is>
          <t>ms</t>
        </is>
      </c>
      <c r="D21" s="6" t="inlineStr">
        <is>
          <t>Groww</t>
        </is>
      </c>
      <c r="E21" s="6" t="inlineStr">
        <is>
          <t>OPPO CPH3009</t>
        </is>
      </c>
      <c r="F21" s="41">
        <f>A21&amp;"|"&amp;D21&amp;"|"&amp;E21</f>
        <v/>
      </c>
      <c r="G21" s="63" t="n">
        <v>2050</v>
      </c>
      <c r="H21" s="63" t="n"/>
      <c r="I21" s="63" t="n"/>
      <c r="J21" s="63" t="n"/>
      <c r="K21" s="63" t="n"/>
      <c r="L21" s="64">
        <f>IF(COUNT(G21:K21)=0,"",MEDIAN(G21:K21))</f>
        <v/>
      </c>
      <c r="M21" s="65">
        <f>IF(COUNT(G21:K21)=0,"",MIN(G21:K21))</f>
        <v/>
      </c>
      <c r="N21" s="65">
        <f>IF(COUNT(G21:K21)=0,"",MAX(G21:K21))</f>
        <v/>
      </c>
      <c r="O21" s="45">
        <f>IF(COUNT(G21:K21)&lt;2,"",IF(L21=0,"",(N21-M21)/L21))</f>
        <v/>
      </c>
      <c r="P21" s="5" t="inlineStr">
        <is>
          <t>60 s in background (Home), relaunch; screenrecord at 20 fps, RELIANCE price box 220x64+820+1048; app back immediately wi</t>
        </is>
      </c>
    </row>
    <row r="22">
      <c r="A22" s="6" t="inlineStr">
        <is>
          <t>U3</t>
        </is>
      </c>
      <c r="B22" s="6" t="inlineStr">
        <is>
          <t>Live updates resume after 1 min in background</t>
        </is>
      </c>
      <c r="C22" s="6" t="inlineStr">
        <is>
          <t>ms</t>
        </is>
      </c>
      <c r="D22" s="6" t="inlineStr">
        <is>
          <t>Angel One</t>
        </is>
      </c>
      <c r="E22" s="6" t="inlineStr">
        <is>
          <t>OPPO CPH3009</t>
        </is>
      </c>
      <c r="F22" s="41">
        <f>A22&amp;"|"&amp;D22&amp;"|"&amp;E22</f>
        <v/>
      </c>
      <c r="G22" s="63" t="n">
        <v>550</v>
      </c>
      <c r="H22" s="63" t="n"/>
      <c r="I22" s="63" t="n"/>
      <c r="J22" s="63" t="n"/>
      <c r="K22" s="63" t="n"/>
      <c r="L22" s="64">
        <f>IF(COUNT(G22:K22)=0,"",MEDIAN(G22:K22))</f>
        <v/>
      </c>
      <c r="M22" s="65">
        <f>IF(COUNT(G22:K22)=0,"",MIN(G22:K22))</f>
        <v/>
      </c>
      <c r="N22" s="65">
        <f>IF(COUNT(G22:K22)=0,"",MAX(G22:K22))</f>
        <v/>
      </c>
      <c r="O22" s="45">
        <f>IF(COUNT(G22:K22)&lt;2,"",IF(L22=0,"",(N22-M22)/L22))</f>
        <v/>
      </c>
      <c r="P22" s="5" t="inlineStr">
        <is>
          <t>60 s in background (Home), relaunch; screenrecord at 20 fps, RELIANCE price box 220x66+830+1678; app back immediately wi</t>
        </is>
      </c>
    </row>
    <row r="23">
      <c r="A23" s="6" t="inlineStr">
        <is>
          <t>U3</t>
        </is>
      </c>
      <c r="B23" s="6" t="inlineStr">
        <is>
          <t>Live updates resume after 1 min in background</t>
        </is>
      </c>
      <c r="C23" s="6" t="inlineStr">
        <is>
          <t>ms</t>
        </is>
      </c>
      <c r="D23" s="6" t="inlineStr">
        <is>
          <t>INDmoney</t>
        </is>
      </c>
      <c r="E23" s="6" t="inlineStr">
        <is>
          <t>OPPO CPH3009</t>
        </is>
      </c>
      <c r="F23" s="41">
        <f>A23&amp;"|"&amp;D23&amp;"|"&amp;E23</f>
        <v/>
      </c>
      <c r="G23" s="63" t="n">
        <v>800</v>
      </c>
      <c r="H23" s="63" t="n"/>
      <c r="I23" s="63" t="n"/>
      <c r="J23" s="63" t="n"/>
      <c r="K23" s="63" t="n"/>
      <c r="L23" s="64">
        <f>IF(COUNT(G23:K23)=0,"",MEDIAN(G23:K23))</f>
        <v/>
      </c>
      <c r="M23" s="65">
        <f>IF(COUNT(G23:K23)=0,"",MIN(G23:K23))</f>
        <v/>
      </c>
      <c r="N23" s="65">
        <f>IF(COUNT(G23:K23)=0,"",MAX(G23:K23))</f>
        <v/>
      </c>
      <c r="O23" s="45">
        <f>IF(COUNT(G23:K23)&lt;2,"",IF(L23=0,"",(N23-M23)/L23))</f>
        <v/>
      </c>
      <c r="P23" s="5" t="inlineStr">
        <is>
          <t>60 s in background (Home), relaunch; screenrecord at 20 fps, RELIANCE price box 190x60+850+1906; app back immediately wi</t>
        </is>
      </c>
    </row>
    <row r="24">
      <c r="A24" s="6" t="inlineStr">
        <is>
          <t>U3</t>
        </is>
      </c>
      <c r="B24" s="6" t="inlineStr">
        <is>
          <t>Live updates resume after 1 min in background</t>
        </is>
      </c>
      <c r="C24" s="6" t="inlineStr">
        <is>
          <t>ms</t>
        </is>
      </c>
      <c r="D24" s="6" t="inlineStr">
        <is>
          <t>Kotak Neo</t>
        </is>
      </c>
      <c r="E24" s="6" t="inlineStr">
        <is>
          <t>OPPO CPH3009</t>
        </is>
      </c>
      <c r="F24" s="41">
        <f>A24&amp;"|"&amp;D24&amp;"|"&amp;E24</f>
        <v/>
      </c>
      <c r="G24" s="63" t="n">
        <v>2050</v>
      </c>
      <c r="H24" s="63" t="n"/>
      <c r="I24" s="63" t="n"/>
      <c r="J24" s="63" t="n"/>
      <c r="K24" s="63" t="n"/>
      <c r="L24" s="64">
        <f>IF(COUNT(G24:K24)=0,"",MEDIAN(G24:K24))</f>
        <v/>
      </c>
      <c r="M24" s="65">
        <f>IF(COUNT(G24:K24)=0,"",MIN(G24:K24))</f>
        <v/>
      </c>
      <c r="N24" s="65">
        <f>IF(COUNT(G24:K24)=0,"",MAX(G24:K24))</f>
        <v/>
      </c>
      <c r="O24" s="45">
        <f>IF(COUNT(G24:K24)&lt;2,"",IF(L24=0,"",(N24-M24)/L24))</f>
        <v/>
      </c>
      <c r="P24" s="5" t="inlineStr">
        <is>
          <t xml:space="preserve">60 s in background (Home), relaunch; screenrecord at 20 fps, RELIANCE price box 180x56+860+1730; app back with price at </t>
        </is>
      </c>
    </row>
    <row r="25">
      <c r="A25" s="6" t="inlineStr">
        <is>
          <t>U3</t>
        </is>
      </c>
      <c r="B25" s="6" t="inlineStr">
        <is>
          <t>Live updates resume after 1 min in background</t>
        </is>
      </c>
      <c r="C25" s="6" t="inlineStr">
        <is>
          <t>ms</t>
        </is>
      </c>
      <c r="D25" s="6" t="inlineStr">
        <is>
          <t>SAHI</t>
        </is>
      </c>
      <c r="E25" s="6" t="inlineStr">
        <is>
          <t>OPPO CPH3009</t>
        </is>
      </c>
      <c r="F25" s="41">
        <f>A25&amp;"|"&amp;D25&amp;"|"&amp;E25</f>
        <v/>
      </c>
      <c r="G25" s="63" t="n">
        <v>1250</v>
      </c>
      <c r="H25" s="63" t="n"/>
      <c r="I25" s="63" t="n"/>
      <c r="J25" s="63" t="n"/>
      <c r="K25" s="63" t="n"/>
      <c r="L25" s="64">
        <f>IF(COUNT(G25:K25)=0,"",MEDIAN(G25:K25))</f>
        <v/>
      </c>
      <c r="M25" s="65">
        <f>IF(COUNT(G25:K25)=0,"",MIN(G25:K25))</f>
        <v/>
      </c>
      <c r="N25" s="65">
        <f>IF(COUNT(G25:K25)=0,"",MAX(G25:K25))</f>
        <v/>
      </c>
      <c r="O25" s="45">
        <f>IF(COUNT(G25:K25)&lt;2,"",IF(L25=0,"",(N25-M25)/L25))</f>
        <v/>
      </c>
      <c r="P25" s="5" t="inlineStr">
        <is>
          <t>60 s in background (Home), relaunch; screenrecord at 20 fps, RELIANCE price box 210x60+830+922; app back immediately sho</t>
        </is>
      </c>
    </row>
    <row r="26">
      <c r="A26" s="8" t="inlineStr">
        <is>
          <t>U4</t>
        </is>
      </c>
      <c r="B26" s="8" t="inlineStr">
        <is>
          <t>Idle redraw rate on Watchlist tab &gt; Bench 20 (frames per second, 60 s, no input)</t>
        </is>
      </c>
      <c r="C26" s="8" t="inlineStr">
        <is>
          <t>fps</t>
        </is>
      </c>
      <c r="D26" s="8" t="inlineStr">
        <is>
          <t>RISE</t>
        </is>
      </c>
      <c r="E26" s="8" t="inlineStr">
        <is>
          <t>OPPO CPH3009</t>
        </is>
      </c>
      <c r="F26" s="41">
        <f>A26&amp;"|"&amp;D26&amp;"|"&amp;E26</f>
        <v/>
      </c>
      <c r="G26" s="63" t="n">
        <v>39.1</v>
      </c>
      <c r="H26" s="63" t="n">
        <v>41.7</v>
      </c>
      <c r="I26" s="63" t="n">
        <v>39.6</v>
      </c>
      <c r="J26" s="63" t="n"/>
      <c r="K26" s="63" t="n"/>
      <c r="L26" s="64">
        <f>IF(COUNT(G26:K26)=0,"",MEDIAN(G26:K26))</f>
        <v/>
      </c>
      <c r="M26" s="65">
        <f>IF(COUNT(G26:K26)=0,"",MIN(G26:K26))</f>
        <v/>
      </c>
      <c r="N26" s="65">
        <f>IF(COUNT(G26:K26)=0,"",MAX(G26:K26))</f>
        <v/>
      </c>
      <c r="O26" s="45">
        <f>IF(COUNT(G26:K26)&lt;2,"",IF(L26=0,"",(N26-M26)/L26))</f>
        <v/>
      </c>
      <c r="P26" s="5" t="inlineStr">
        <is>
          <t>2425 frames in 60 s, jank 3.22% | 2455 frames in 60 s, jank 1.3% | 2588 frames in 60 s, jank 1.0%</t>
        </is>
      </c>
    </row>
    <row r="27">
      <c r="A27" s="46" t="inlineStr">
        <is>
          <t>U4</t>
        </is>
      </c>
      <c r="B27" s="46" t="inlineStr">
        <is>
          <t>Idle redraw rate on Watchlist tab &gt; Bench 20 (frames per second, 60 s, no input)</t>
        </is>
      </c>
      <c r="C27" s="46" t="inlineStr">
        <is>
          <t>fps</t>
        </is>
      </c>
      <c r="D27" s="46" t="inlineStr">
        <is>
          <t>Kite</t>
        </is>
      </c>
      <c r="E27" s="46" t="inlineStr">
        <is>
          <t>OPPO CPH3009</t>
        </is>
      </c>
      <c r="F27" s="41">
        <f>A27&amp;"|"&amp;D27&amp;"|"&amp;E27</f>
        <v/>
      </c>
      <c r="G27" s="63" t="n"/>
      <c r="H27" s="63" t="n"/>
      <c r="I27" s="63" t="n"/>
      <c r="J27" s="63" t="n"/>
      <c r="K27" s="63" t="n"/>
      <c r="L27" s="64">
        <f>IF(COUNT(G27:K27)=0,"",MEDIAN(G27:K27))</f>
        <v/>
      </c>
      <c r="M27" s="65">
        <f>IF(COUNT(G27:K27)=0,"",MIN(G27:K27))</f>
        <v/>
      </c>
      <c r="N27" s="65">
        <f>IF(COUNT(G27:K27)=0,"",MAX(G27:K27))</f>
        <v/>
      </c>
      <c r="O27" s="45">
        <f>IF(COUNT(G27:K27)&lt;2,"",IF(L27=0,"",(N27-M27)/L27))</f>
        <v/>
      </c>
      <c r="P27" s="5" t="inlineStr">
        <is>
          <t>no frames from the app while idle</t>
        </is>
      </c>
    </row>
    <row r="28">
      <c r="A28" s="46" t="inlineStr">
        <is>
          <t>U4</t>
        </is>
      </c>
      <c r="B28" s="46" t="inlineStr">
        <is>
          <t>Idle redraw rate on Watchlist tab &gt; Bench 20 (frames per second, 60 s, no input)</t>
        </is>
      </c>
      <c r="C28" s="46" t="inlineStr">
        <is>
          <t>fps</t>
        </is>
      </c>
      <c r="D28" s="46" t="inlineStr">
        <is>
          <t>Groww</t>
        </is>
      </c>
      <c r="E28" s="46" t="inlineStr">
        <is>
          <t>OPPO CPH3009</t>
        </is>
      </c>
      <c r="F28" s="41">
        <f>A28&amp;"|"&amp;D28&amp;"|"&amp;E28</f>
        <v/>
      </c>
      <c r="G28" s="63" t="n">
        <v>90.2</v>
      </c>
      <c r="H28" s="63" t="n">
        <v>90.2</v>
      </c>
      <c r="I28" s="63" t="n">
        <v>90.2</v>
      </c>
      <c r="J28" s="63" t="n"/>
      <c r="K28" s="63" t="n"/>
      <c r="L28" s="64">
        <f>IF(COUNT(G28:K28)=0,"",MEDIAN(G28:K28))</f>
        <v/>
      </c>
      <c r="M28" s="65">
        <f>IF(COUNT(G28:K28)=0,"",MIN(G28:K28))</f>
        <v/>
      </c>
      <c r="N28" s="65">
        <f>IF(COUNT(G28:K28)=0,"",MAX(G28:K28))</f>
        <v/>
      </c>
      <c r="O28" s="45">
        <f>IF(COUNT(G28:K28)&lt;2,"",IF(L28=0,"",(N28-M28)/L28))</f>
        <v/>
      </c>
      <c r="P28" s="5" t="inlineStr">
        <is>
          <t>5590 frames in 60 s, jank 0.05% | 5591 frames in 60 s, jank 0.04% | 5592 frames in 60 s, jank 0.0%</t>
        </is>
      </c>
    </row>
    <row r="29">
      <c r="A29" s="46" t="inlineStr">
        <is>
          <t>U4</t>
        </is>
      </c>
      <c r="B29" s="46" t="inlineStr">
        <is>
          <t>Idle redraw rate on Watchlist tab &gt; Bench 20 (frames per second, 60 s, no input)</t>
        </is>
      </c>
      <c r="C29" s="46" t="inlineStr">
        <is>
          <t>fps</t>
        </is>
      </c>
      <c r="D29" s="46" t="inlineStr">
        <is>
          <t>Angel One</t>
        </is>
      </c>
      <c r="E29" s="46" t="inlineStr">
        <is>
          <t>OPPO CPH3009</t>
        </is>
      </c>
      <c r="F29" s="41">
        <f>A29&amp;"|"&amp;D29&amp;"|"&amp;E29</f>
        <v/>
      </c>
      <c r="G29" s="63" t="n">
        <v>34</v>
      </c>
      <c r="H29" s="63" t="n">
        <v>32.6</v>
      </c>
      <c r="I29" s="63" t="n">
        <v>33.4</v>
      </c>
      <c r="J29" s="63" t="n"/>
      <c r="K29" s="63" t="n"/>
      <c r="L29" s="64">
        <f>IF(COUNT(G29:K29)=0,"",MEDIAN(G29:K29))</f>
        <v/>
      </c>
      <c r="M29" s="65">
        <f>IF(COUNT(G29:K29)=0,"",MIN(G29:K29))</f>
        <v/>
      </c>
      <c r="N29" s="65">
        <f>IF(COUNT(G29:K29)=0,"",MAX(G29:K29))</f>
        <v/>
      </c>
      <c r="O29" s="45">
        <f>IF(COUNT(G29:K29)&lt;2,"",IF(L29=0,"",(N29-M29)/L29))</f>
        <v/>
      </c>
      <c r="P29" s="5" t="inlineStr">
        <is>
          <t>2021 frames in 60 s, jank 7.32% | 2068 frames in 60 s, jank 6.67% | 2108 frames in 60 s, jank 8.44%</t>
        </is>
      </c>
    </row>
    <row r="30">
      <c r="A30" s="46" t="inlineStr">
        <is>
          <t>U4</t>
        </is>
      </c>
      <c r="B30" s="46" t="inlineStr">
        <is>
          <t>Idle redraw rate on Watchlist tab &gt; Bench 20 (frames per second, 60 s, no input)</t>
        </is>
      </c>
      <c r="C30" s="46" t="inlineStr">
        <is>
          <t>fps</t>
        </is>
      </c>
      <c r="D30" s="46" t="inlineStr">
        <is>
          <t>INDmoney</t>
        </is>
      </c>
      <c r="E30" s="46" t="inlineStr">
        <is>
          <t>OPPO CPH3009</t>
        </is>
      </c>
      <c r="F30" s="41">
        <f>A30&amp;"|"&amp;D30&amp;"|"&amp;E30</f>
        <v/>
      </c>
      <c r="G30" s="63" t="n">
        <v>6.4</v>
      </c>
      <c r="H30" s="63" t="n">
        <v>4.3</v>
      </c>
      <c r="I30" s="63" t="n">
        <v>5.5</v>
      </c>
      <c r="J30" s="63" t="n"/>
      <c r="K30" s="63" t="n"/>
      <c r="L30" s="64">
        <f>IF(COUNT(G30:K30)=0,"",MEDIAN(G30:K30))</f>
        <v/>
      </c>
      <c r="M30" s="65">
        <f>IF(COUNT(G30:K30)=0,"",MIN(G30:K30))</f>
        <v/>
      </c>
      <c r="N30" s="65">
        <f>IF(COUNT(G30:K30)=0,"",MAX(G30:K30))</f>
        <v/>
      </c>
      <c r="O30" s="45">
        <f>IF(COUNT(G30:K30)&lt;2,"",IF(L30=0,"",(N30-M30)/L30))</f>
        <v/>
      </c>
      <c r="P30" s="5" t="inlineStr">
        <is>
          <t>264 frames in 60 s, jank 65.53% | 343 frames in 60 s, jank 74.93% | 399 frames in 60 s, jank 84.21%</t>
        </is>
      </c>
    </row>
    <row r="31">
      <c r="A31" s="46" t="inlineStr">
        <is>
          <t>U4</t>
        </is>
      </c>
      <c r="B31" s="46" t="inlineStr">
        <is>
          <t>Idle redraw rate on Watchlist tab &gt; Bench 20 (frames per second, 60 s, no input)</t>
        </is>
      </c>
      <c r="C31" s="46" t="inlineStr">
        <is>
          <t>fps</t>
        </is>
      </c>
      <c r="D31" s="46" t="inlineStr">
        <is>
          <t>Kotak Neo</t>
        </is>
      </c>
      <c r="E31" s="46" t="inlineStr">
        <is>
          <t>OPPO CPH3009</t>
        </is>
      </c>
      <c r="F31" s="41">
        <f>A31&amp;"|"&amp;D31&amp;"|"&amp;E31</f>
        <v/>
      </c>
      <c r="G31" s="63" t="n"/>
      <c r="H31" s="63" t="n"/>
      <c r="I31" s="63" t="n"/>
      <c r="J31" s="63" t="n"/>
      <c r="K31" s="63" t="n"/>
      <c r="L31" s="64">
        <f>IF(COUNT(G31:K31)=0,"",MEDIAN(G31:K31))</f>
        <v/>
      </c>
      <c r="M31" s="65">
        <f>IF(COUNT(G31:K31)=0,"",MIN(G31:K31))</f>
        <v/>
      </c>
      <c r="N31" s="65">
        <f>IF(COUNT(G31:K31)=0,"",MAX(G31:K31))</f>
        <v/>
      </c>
      <c r="O31" s="45">
        <f>IF(COUNT(G31:K31)&lt;2,"",IF(L31=0,"",(N31-M31)/L31))</f>
        <v/>
      </c>
      <c r="P31" s="5" t="inlineStr">
        <is>
          <t>no frames from the app while idle</t>
        </is>
      </c>
    </row>
    <row r="32">
      <c r="A32" s="46" t="inlineStr">
        <is>
          <t>U4</t>
        </is>
      </c>
      <c r="B32" s="46" t="inlineStr">
        <is>
          <t>Idle redraw rate on Watchlist tab &gt; Bench 20 (frames per second, 60 s, no input)</t>
        </is>
      </c>
      <c r="C32" s="46" t="inlineStr">
        <is>
          <t>fps</t>
        </is>
      </c>
      <c r="D32" s="46" t="inlineStr">
        <is>
          <t>SAHI</t>
        </is>
      </c>
      <c r="E32" s="46" t="inlineStr">
        <is>
          <t>OPPO CPH3009</t>
        </is>
      </c>
      <c r="F32" s="41">
        <f>A32&amp;"|"&amp;D32&amp;"|"&amp;E32</f>
        <v/>
      </c>
      <c r="G32" s="63" t="n"/>
      <c r="H32" s="63" t="n"/>
      <c r="I32" s="63" t="n"/>
      <c r="J32" s="63" t="n"/>
      <c r="K32" s="63" t="n"/>
      <c r="L32" s="64">
        <f>IF(COUNT(G32:K32)=0,"",MEDIAN(G32:K32))</f>
        <v/>
      </c>
      <c r="M32" s="65">
        <f>IF(COUNT(G32:K32)=0,"",MIN(G32:K32))</f>
        <v/>
      </c>
      <c r="N32" s="65">
        <f>IF(COUNT(G32:K32)=0,"",MAX(G32:K32))</f>
        <v/>
      </c>
      <c r="O32" s="45">
        <f>IF(COUNT(G32:K32)&lt;2,"",IF(L32=0,"",(N32-M32)/L32))</f>
        <v/>
      </c>
      <c r="P32" s="5" t="inlineStr">
        <is>
          <t>no frames from the app while idle</t>
        </is>
      </c>
    </row>
    <row r="33">
      <c r="A33" s="8" t="inlineStr">
        <is>
          <t>U5</t>
        </is>
      </c>
      <c r="B33" s="8" t="inlineStr">
        <is>
          <t>Wasted redraws on Watchlist tab &gt; Bench 20: idle frames identical to the previous frame</t>
        </is>
      </c>
      <c r="C33" s="8" t="inlineStr">
        <is>
          <t>%</t>
        </is>
      </c>
      <c r="D33" s="8" t="inlineStr">
        <is>
          <t>RISE</t>
        </is>
      </c>
      <c r="E33" s="8" t="inlineStr">
        <is>
          <t>OPPO CPH3009</t>
        </is>
      </c>
      <c r="F33" s="41">
        <f>A33&amp;"|"&amp;D33&amp;"|"&amp;E33</f>
        <v/>
      </c>
      <c r="G33" s="63" t="n">
        <v>63.7</v>
      </c>
      <c r="H33" s="63" t="n">
        <v>49.5</v>
      </c>
      <c r="I33" s="63" t="n">
        <v>48.5</v>
      </c>
      <c r="J33" s="63" t="n"/>
      <c r="K33" s="63" t="n"/>
      <c r="L33" s="64">
        <f>IF(COUNT(G33:K33)=0,"",MEDIAN(G33:K33))</f>
        <v/>
      </c>
      <c r="M33" s="65">
        <f>IF(COUNT(G33:K33)=0,"",MIN(G33:K33))</f>
        <v/>
      </c>
      <c r="N33" s="65">
        <f>IF(COUNT(G33:K33)=0,"",MAX(G33:K33))</f>
        <v/>
      </c>
      <c r="O33" s="45">
        <f>IF(COUNT(G33:K33)&lt;2,"",IF(L33=0,"",(N33-M33)/L33))</f>
        <v/>
      </c>
      <c r="P33" s="5" t="inlineStr">
        <is>
          <t>2524 frames, 1301 kept by mpdecimate | 2639 frames, 1334 kept by mpdecimate | 2956 frames, 1072 kept by mpdecimate</t>
        </is>
      </c>
    </row>
    <row r="34">
      <c r="A34" s="6" t="inlineStr">
        <is>
          <t>U5</t>
        </is>
      </c>
      <c r="B34" s="6" t="inlineStr">
        <is>
          <t>Wasted redraws on Watchlist tab &gt; Bench 20: idle frames identical to the previous frame</t>
        </is>
      </c>
      <c r="C34" s="6" t="inlineStr">
        <is>
          <t>%</t>
        </is>
      </c>
      <c r="D34" s="6" t="inlineStr">
        <is>
          <t>Kite</t>
        </is>
      </c>
      <c r="E34" s="6" t="inlineStr">
        <is>
          <t>OPPO CPH3009</t>
        </is>
      </c>
      <c r="F34" s="41">
        <f>A34&amp;"|"&amp;D34&amp;"|"&amp;E34</f>
        <v/>
      </c>
      <c r="G34" s="63" t="n">
        <v>1.8</v>
      </c>
      <c r="H34" s="63" t="n">
        <v>0.4</v>
      </c>
      <c r="I34" s="63" t="n">
        <v>1.6</v>
      </c>
      <c r="J34" s="63" t="n"/>
      <c r="K34" s="63" t="n"/>
      <c r="L34" s="64">
        <f>IF(COUNT(G34:K34)=0,"",MEDIAN(G34:K34))</f>
        <v/>
      </c>
      <c r="M34" s="65">
        <f>IF(COUNT(G34:K34)=0,"",MIN(G34:K34))</f>
        <v/>
      </c>
      <c r="N34" s="65">
        <f>IF(COUNT(G34:K34)=0,"",MAX(G34:K34))</f>
        <v/>
      </c>
      <c r="O34" s="45">
        <f>IF(COUNT(G34:K34)&lt;2,"",IF(L34=0,"",(N34-M34)/L34))</f>
        <v/>
      </c>
      <c r="P34" s="5" t="inlineStr">
        <is>
          <t>243 frames, 242 kept by mpdecimate | 245 frames, 241 kept by mpdecimate | 273 frames, 268 kept by mpdecimate</t>
        </is>
      </c>
    </row>
    <row r="35">
      <c r="A35" s="6" t="inlineStr">
        <is>
          <t>U5</t>
        </is>
      </c>
      <c r="B35" s="6" t="inlineStr">
        <is>
          <t>Wasted redraws on Watchlist tab &gt; Bench 20: idle frames identical to the previous frame</t>
        </is>
      </c>
      <c r="C35" s="6" t="inlineStr">
        <is>
          <t>%</t>
        </is>
      </c>
      <c r="D35" s="6" t="inlineStr">
        <is>
          <t>Groww</t>
        </is>
      </c>
      <c r="E35" s="6" t="inlineStr">
        <is>
          <t>OPPO CPH3009</t>
        </is>
      </c>
      <c r="F35" s="41">
        <f>A35&amp;"|"&amp;D35&amp;"|"&amp;E35</f>
        <v/>
      </c>
      <c r="G35" s="63" t="n">
        <v>92.40000000000001</v>
      </c>
      <c r="H35" s="63" t="n">
        <v>92.59999999999999</v>
      </c>
      <c r="I35" s="63" t="n">
        <v>93.2</v>
      </c>
      <c r="J35" s="63" t="n"/>
      <c r="K35" s="63" t="n"/>
      <c r="L35" s="64">
        <f>IF(COUNT(G35:K35)=0,"",MEDIAN(G35:K35))</f>
        <v/>
      </c>
      <c r="M35" s="65">
        <f>IF(COUNT(G35:K35)=0,"",MIN(G35:K35))</f>
        <v/>
      </c>
      <c r="N35" s="65">
        <f>IF(COUNT(G35:K35)=0,"",MAX(G35:K35))</f>
        <v/>
      </c>
      <c r="O35" s="45">
        <f>IF(COUNT(G35:K35)&lt;2,"",IF(L35=0,"",(N35-M35)/L35))</f>
        <v/>
      </c>
      <c r="P35" s="5" t="inlineStr">
        <is>
          <t>5402 frames, 399 kept by mpdecimate | 5408 frames, 411 kept by mpdecimate | 5411 frames, 369 kept by mpdecimate</t>
        </is>
      </c>
    </row>
    <row r="36">
      <c r="A36" s="6" t="inlineStr">
        <is>
          <t>U5</t>
        </is>
      </c>
      <c r="B36" s="6" t="inlineStr">
        <is>
          <t>Wasted redraws on Watchlist tab &gt; Bench 20: idle frames identical to the previous frame</t>
        </is>
      </c>
      <c r="C36" s="6" t="inlineStr">
        <is>
          <t>%</t>
        </is>
      </c>
      <c r="D36" s="6" t="inlineStr">
        <is>
          <t>Angel One</t>
        </is>
      </c>
      <c r="E36" s="6" t="inlineStr">
        <is>
          <t>OPPO CPH3009</t>
        </is>
      </c>
      <c r="F36" s="41">
        <f>A36&amp;"|"&amp;D36&amp;"|"&amp;E36</f>
        <v/>
      </c>
      <c r="G36" s="63" t="n">
        <v>29.3</v>
      </c>
      <c r="H36" s="63" t="n">
        <v>28.9</v>
      </c>
      <c r="I36" s="63" t="n">
        <v>28.7</v>
      </c>
      <c r="J36" s="63" t="n"/>
      <c r="K36" s="63" t="n"/>
      <c r="L36" s="64">
        <f>IF(COUNT(G36:K36)=0,"",MEDIAN(G36:K36))</f>
        <v/>
      </c>
      <c r="M36" s="65">
        <f>IF(COUNT(G36:K36)=0,"",MIN(G36:K36))</f>
        <v/>
      </c>
      <c r="N36" s="65">
        <f>IF(COUNT(G36:K36)=0,"",MAX(G36:K36))</f>
        <v/>
      </c>
      <c r="O36" s="45">
        <f>IF(COUNT(G36:K36)&lt;2,"",IF(L36=0,"",(N36-M36)/L36))</f>
        <v/>
      </c>
      <c r="P36" s="5" t="inlineStr">
        <is>
          <t>1933 frames, 1378 kept by mpdecimate | 1987 frames, 1404 kept by mpdecimate | 2031 frames, 1444 kept by mpdecimate</t>
        </is>
      </c>
    </row>
    <row r="37">
      <c r="A37" s="6" t="inlineStr">
        <is>
          <t>U5</t>
        </is>
      </c>
      <c r="B37" s="6" t="inlineStr">
        <is>
          <t>Wasted redraws on Watchlist tab &gt; Bench 20: idle frames identical to the previous frame</t>
        </is>
      </c>
      <c r="C37" s="6" t="inlineStr">
        <is>
          <t>%</t>
        </is>
      </c>
      <c r="D37" s="6" t="inlineStr">
        <is>
          <t>INDmoney</t>
        </is>
      </c>
      <c r="E37" s="6" t="inlineStr">
        <is>
          <t>OPPO CPH3009</t>
        </is>
      </c>
      <c r="F37" s="41">
        <f>A37&amp;"|"&amp;D37&amp;"|"&amp;E37</f>
        <v/>
      </c>
      <c r="G37" s="63" t="n">
        <v>54.1</v>
      </c>
      <c r="H37" s="63" t="n">
        <v>56.9</v>
      </c>
      <c r="I37" s="63" t="n">
        <v>62.4</v>
      </c>
      <c r="J37" s="63" t="n"/>
      <c r="K37" s="63" t="n"/>
      <c r="L37" s="64">
        <f>IF(COUNT(G37:K37)=0,"",MEDIAN(G37:K37))</f>
        <v/>
      </c>
      <c r="M37" s="65">
        <f>IF(COUNT(G37:K37)=0,"",MIN(G37:K37))</f>
        <v/>
      </c>
      <c r="N37" s="65">
        <f>IF(COUNT(G37:K37)=0,"",MAX(G37:K37))</f>
        <v/>
      </c>
      <c r="O37" s="45">
        <f>IF(COUNT(G37:K37)&lt;2,"",IF(L37=0,"",(N37-M37)/L37))</f>
        <v/>
      </c>
      <c r="P37" s="5" t="inlineStr">
        <is>
          <t>283 frames, 122 kept by mpdecimate | 311 frames, 117 kept by mpdecimate | 410 frames, 188 kept by mpdecimate</t>
        </is>
      </c>
    </row>
    <row r="38">
      <c r="A38" s="6" t="inlineStr">
        <is>
          <t>U5</t>
        </is>
      </c>
      <c r="B38" s="6" t="inlineStr">
        <is>
          <t>Wasted redraws on Watchlist tab &gt; Bench 20: idle frames identical to the previous frame</t>
        </is>
      </c>
      <c r="C38" s="6" t="inlineStr">
        <is>
          <t>%</t>
        </is>
      </c>
      <c r="D38" s="6" t="inlineStr">
        <is>
          <t>Kotak Neo</t>
        </is>
      </c>
      <c r="E38" s="6" t="inlineStr">
        <is>
          <t>OPPO CPH3009</t>
        </is>
      </c>
      <c r="F38" s="41">
        <f>A38&amp;"|"&amp;D38&amp;"|"&amp;E38</f>
        <v/>
      </c>
      <c r="G38" s="63" t="n">
        <v>24.7</v>
      </c>
      <c r="H38" s="63" t="n">
        <v>25.7</v>
      </c>
      <c r="I38" s="63" t="n">
        <v>23.9</v>
      </c>
      <c r="J38" s="63" t="n"/>
      <c r="K38" s="63" t="n"/>
      <c r="L38" s="64">
        <f>IF(COUNT(G38:K38)=0,"",MEDIAN(G38:K38))</f>
        <v/>
      </c>
      <c r="M38" s="65">
        <f>IF(COUNT(G38:K38)=0,"",MIN(G38:K38))</f>
        <v/>
      </c>
      <c r="N38" s="65">
        <f>IF(COUNT(G38:K38)=0,"",MAX(G38:K38))</f>
        <v/>
      </c>
      <c r="O38" s="45">
        <f>IF(COUNT(G38:K38)&lt;2,"",IF(L38=0,"",(N38-M38)/L38))</f>
        <v/>
      </c>
      <c r="P38" s="5" t="inlineStr">
        <is>
          <t>479 frames, 356 kept by mpdecimate | 536 frames, 408 kept by mpdecimate | 784 frames, 590 kept by mpdecimate</t>
        </is>
      </c>
    </row>
    <row r="39">
      <c r="A39" s="6" t="inlineStr">
        <is>
          <t>U5</t>
        </is>
      </c>
      <c r="B39" s="6" t="inlineStr">
        <is>
          <t>Wasted redraws on Watchlist tab &gt; Bench 20: idle frames identical to the previous frame</t>
        </is>
      </c>
      <c r="C39" s="6" t="inlineStr">
        <is>
          <t>%</t>
        </is>
      </c>
      <c r="D39" s="6" t="inlineStr">
        <is>
          <t>SAHI</t>
        </is>
      </c>
      <c r="E39" s="6" t="inlineStr">
        <is>
          <t>OPPO CPH3009</t>
        </is>
      </c>
      <c r="F39" s="41">
        <f>A39&amp;"|"&amp;D39&amp;"|"&amp;E39</f>
        <v/>
      </c>
      <c r="G39" s="63" t="n">
        <v>92.90000000000001</v>
      </c>
      <c r="H39" s="63" t="n">
        <v>93.3</v>
      </c>
      <c r="I39" s="63" t="n">
        <v>78</v>
      </c>
      <c r="J39" s="63" t="n"/>
      <c r="K39" s="63" t="n"/>
      <c r="L39" s="64">
        <f>IF(COUNT(G39:K39)=0,"",MEDIAN(G39:K39))</f>
        <v/>
      </c>
      <c r="M39" s="65">
        <f>IF(COUNT(G39:K39)=0,"",MIN(G39:K39))</f>
        <v/>
      </c>
      <c r="N39" s="65">
        <f>IF(COUNT(G39:K39)=0,"",MAX(G39:K39))</f>
        <v/>
      </c>
      <c r="O39" s="45">
        <f>IF(COUNT(G39:K39)&lt;2,"",IF(L39=0,"",(N39-M39)/L39))</f>
        <v/>
      </c>
      <c r="P39" s="5" t="inlineStr">
        <is>
          <t>3629 frames, 243 kept by mpdecimate | 3629 frames, 258 kept by mpdecimate | 3925 frames, 865 kept by mpdecimate</t>
        </is>
      </c>
    </row>
  </sheetData>
  <autoFilter ref="A4:P39"/>
  <conditionalFormatting sqref="O5:O39">
    <cfRule type="cellIs" priority="1" operator="greaterThan" dxfId="4">
      <formula>0.2</formula>
    </cfRule>
  </conditionalFormatting>
  <dataValidations count="1">
    <dataValidation sqref="G5 G6 G7 G8 G9 G10 G11 G12 G13 G14 G15 G16 G17 G18 G19 G20 G21 G22 G23 G24 G25 G26 G27 G28 G29 G30 G31 G32 G33 G34 G35 G36 G37 G38 G39 H5 H6 H7 H8 H9 H10 H11 H12 H13 H14 H15 H16 H17 H18 H19 H20 H21 H22 H23 H24 H25 H26 H27 H28 H29 H30 H31 H32 H33 H34 H35 H36 H37 H38 H39 I5 I6 I7 I8 I9 I10 I11 I12 I13 I14 I15 I16 I17 I18 I19 I20 I21 I22 I23 I24 I25 I26 I27 I28 I29 I30 I31 I32 I33 I34 I35 I36 I37 I38 I39 J5 J6 J7 J8 J9 J10 J11 J12 J13 J14 J15 J16 J17 J18 J19 J20 J21 J22 J23 J24 J25 J26 J27 J28 J29 J30 J31 J32 J33 J34 J35 J36 J37 J38 J39 K5 K6 K7 K8 K9 K10 K11 K12 K13 K14 K15 K16 K17 K18 K19 K20 K21 K22 K23 K24 K25 K26 K27 K28 K29 K30 K31 K32 K33 K34 K35 K36 K37 K38 K39" showDropDown="0" showInputMessage="0" showErrorMessage="1" allowBlank="1" error="Enter a number (no units)." type="decimal" operator="greaterThanOrEqual">
      <formula1>0</formula1>
    </dataValidation>
  </dataValidations>
  <pageMargins left="0.75" right="0.75" top="1" bottom="1" header="0.5" footer="0.5"/>
</worksheet>
</file>

<file path=xl/worksheets/sheet9.xml><?xml version="1.0" encoding="utf-8"?>
<worksheet xmlns="http://schemas.openxmlformats.org/spreadsheetml/2006/main">
  <sheetPr>
    <tabColor rgb="00FFC000"/>
    <outlinePr summaryBelow="1" summaryRight="1"/>
    <pageSetUpPr/>
  </sheetPr>
  <dimension ref="A1:I26"/>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58"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4 Offline</t>
        </is>
      </c>
    </row>
    <row r="2">
      <c r="A2" s="2" t="inlineStr">
        <is>
          <t>Caching behaviour in offline mode on Watchlist tab &gt; Bench 20. Yes / Partial / No / N/A per item, from record.py; the score is a formula.</t>
        </is>
      </c>
    </row>
    <row r="4" ht="32" customHeight="1">
      <c r="A4" s="10" t="inlineStr">
        <is>
          <t>ID</t>
        </is>
      </c>
      <c r="B4" s="10" t="inlineStr">
        <is>
          <t>Scenario</t>
        </is>
      </c>
      <c r="C4" s="16" t="inlineStr">
        <is>
          <t>RISE</t>
        </is>
      </c>
      <c r="D4" s="10" t="inlineStr">
        <is>
          <t>Kite</t>
        </is>
      </c>
      <c r="E4" s="10" t="inlineStr">
        <is>
          <t>Groww</t>
        </is>
      </c>
      <c r="F4" s="10" t="inlineStr">
        <is>
          <t>Angel One</t>
        </is>
      </c>
      <c r="G4" s="10" t="inlineStr">
        <is>
          <t>INDmoney</t>
        </is>
      </c>
      <c r="H4" s="10" t="inlineStr">
        <is>
          <t>Kotak Neo</t>
        </is>
      </c>
      <c r="I4" s="10" t="inlineStr">
        <is>
          <t>SAHI</t>
        </is>
      </c>
    </row>
    <row r="5">
      <c r="A5" s="6" t="inlineStr">
        <is>
          <t>OF1</t>
        </is>
      </c>
      <c r="B5" s="11" t="inlineStr">
        <is>
          <t>Cold launch in airplane mode → Watchlist tab shows cached data</t>
        </is>
      </c>
      <c r="C5" s="47" t="inlineStr">
        <is>
          <t>No</t>
        </is>
      </c>
      <c r="D5" s="47" t="inlineStr">
        <is>
          <t>No</t>
        </is>
      </c>
      <c r="E5" s="47" t="inlineStr">
        <is>
          <t>No</t>
        </is>
      </c>
      <c r="F5" s="47" t="inlineStr">
        <is>
          <t>Yes</t>
        </is>
      </c>
      <c r="G5" s="47" t="inlineStr">
        <is>
          <t>No</t>
        </is>
      </c>
      <c r="H5" s="47" t="inlineStr">
        <is>
          <t>No</t>
        </is>
      </c>
      <c r="I5" s="47" t="inlineStr">
        <is>
          <t>No</t>
        </is>
      </c>
    </row>
    <row r="6">
      <c r="A6" s="6" t="inlineStr">
        <is>
          <t>OF2</t>
        </is>
      </c>
      <c r="B6" s="11" t="inlineStr">
        <is>
          <t>Cached data shows a 'last updated' time or stale indicator</t>
        </is>
      </c>
      <c r="C6" s="47" t="inlineStr">
        <is>
          <t>No</t>
        </is>
      </c>
      <c r="D6" s="47" t="inlineStr">
        <is>
          <t>No</t>
        </is>
      </c>
      <c r="E6" s="47" t="inlineStr">
        <is>
          <t>No</t>
        </is>
      </c>
      <c r="F6" s="47" t="inlineStr">
        <is>
          <t>No</t>
        </is>
      </c>
      <c r="G6" s="47" t="inlineStr">
        <is>
          <t>No</t>
        </is>
      </c>
      <c r="H6" s="47" t="inlineStr">
        <is>
          <t>No</t>
        </is>
      </c>
      <c r="I6" s="47" t="inlineStr">
        <is>
          <t>No</t>
        </is>
      </c>
    </row>
    <row r="7">
      <c r="A7" s="6" t="inlineStr">
        <is>
          <t>OF3</t>
        </is>
      </c>
      <c r="B7" s="11" t="inlineStr">
        <is>
          <t>Network lost while on Watchlist tab → data stays visible (no blank screen or crash)</t>
        </is>
      </c>
      <c r="C7" s="47" t="inlineStr">
        <is>
          <t>Yes</t>
        </is>
      </c>
      <c r="D7" s="47" t="inlineStr">
        <is>
          <t>Yes</t>
        </is>
      </c>
      <c r="E7" s="47" t="inlineStr">
        <is>
          <t>Yes</t>
        </is>
      </c>
      <c r="F7" s="47" t="inlineStr">
        <is>
          <t>Yes</t>
        </is>
      </c>
      <c r="G7" s="47" t="inlineStr">
        <is>
          <t>Yes</t>
        </is>
      </c>
      <c r="H7" s="47" t="inlineStr">
        <is>
          <t>No</t>
        </is>
      </c>
      <c r="I7" s="47" t="inlineStr">
        <is>
          <t>No</t>
        </is>
      </c>
    </row>
    <row r="8">
      <c r="A8" s="6" t="inlineStr">
        <is>
          <t>OF4</t>
        </is>
      </c>
      <c r="B8" s="11" t="inlineStr">
        <is>
          <t>Clear offline message or banner shown</t>
        </is>
      </c>
      <c r="C8" s="47" t="inlineStr">
        <is>
          <t>No</t>
        </is>
      </c>
      <c r="D8" s="47" t="inlineStr">
        <is>
          <t>No</t>
        </is>
      </c>
      <c r="E8" s="47" t="inlineStr">
        <is>
          <t>Yes</t>
        </is>
      </c>
      <c r="F8" s="47" t="inlineStr">
        <is>
          <t>No</t>
        </is>
      </c>
      <c r="G8" s="47" t="inlineStr">
        <is>
          <t>Yes</t>
        </is>
      </c>
      <c r="H8" s="47" t="inlineStr">
        <is>
          <t>Yes</t>
        </is>
      </c>
      <c r="I8" s="47" t="inlineStr">
        <is>
          <t>Yes</t>
        </is>
      </c>
    </row>
    <row r="9">
      <c r="A9" s="6" t="inlineStr">
        <is>
          <t>OF5</t>
        </is>
      </c>
      <c r="B9" s="11" t="inlineStr">
        <is>
          <t>Auto-refresh on reconnect (no manual pull needed)</t>
        </is>
      </c>
      <c r="C9" s="47" t="inlineStr">
        <is>
          <t>Yes</t>
        </is>
      </c>
      <c r="D9" s="47" t="inlineStr">
        <is>
          <t>Yes</t>
        </is>
      </c>
      <c r="E9" s="47" t="inlineStr">
        <is>
          <t>Yes</t>
        </is>
      </c>
      <c r="F9" s="47" t="inlineStr">
        <is>
          <t>Yes</t>
        </is>
      </c>
      <c r="G9" s="47" t="inlineStr">
        <is>
          <t>Yes</t>
        </is>
      </c>
      <c r="H9" s="47" t="inlineStr">
        <is>
          <t>Yes</t>
        </is>
      </c>
      <c r="I9" s="47" t="inlineStr">
        <is>
          <t>Yes</t>
        </is>
      </c>
    </row>
    <row r="10">
      <c r="A10" s="6" t="inlineStr">
        <is>
          <t>OF6</t>
        </is>
      </c>
      <c r="B10" s="11" t="inlineStr">
        <is>
          <t>No forced re-login or PIN after reconnect</t>
        </is>
      </c>
      <c r="C10" s="47" t="inlineStr">
        <is>
          <t>Yes</t>
        </is>
      </c>
      <c r="D10" s="47" t="inlineStr">
        <is>
          <t>Yes</t>
        </is>
      </c>
      <c r="E10" s="47" t="inlineStr">
        <is>
          <t>Yes</t>
        </is>
      </c>
      <c r="F10" s="47" t="inlineStr">
        <is>
          <t>Yes</t>
        </is>
      </c>
      <c r="G10" s="47" t="inlineStr">
        <is>
          <t>Yes</t>
        </is>
      </c>
      <c r="H10" s="47" t="inlineStr">
        <is>
          <t>Yes</t>
        </is>
      </c>
      <c r="I10" s="47" t="inlineStr">
        <is>
          <t>Yes</t>
        </is>
      </c>
    </row>
    <row r="11">
      <c r="A11" s="6" t="inlineStr">
        <is>
          <t>OF7</t>
        </is>
      </c>
      <c r="B11" s="11" t="inlineStr">
        <is>
          <t>stock quote page opens offline from cache</t>
        </is>
      </c>
      <c r="C11" s="47" t="inlineStr">
        <is>
          <t>No</t>
        </is>
      </c>
      <c r="D11" s="47" t="inlineStr">
        <is>
          <t>No</t>
        </is>
      </c>
      <c r="E11" s="47" t="inlineStr">
        <is>
          <t>No</t>
        </is>
      </c>
      <c r="F11" s="47" t="inlineStr">
        <is>
          <t>Partial</t>
        </is>
      </c>
      <c r="G11" s="47" t="inlineStr">
        <is>
          <t>No</t>
        </is>
      </c>
      <c r="H11" s="47" t="inlineStr">
        <is>
          <t>No</t>
        </is>
      </c>
      <c r="I11" s="47" t="inlineStr">
        <is>
          <t>No</t>
        </is>
      </c>
    </row>
    <row r="12">
      <c r="A12" s="6" t="inlineStr">
        <is>
          <t>OF8</t>
        </is>
      </c>
      <c r="B12" s="11" t="inlineStr">
        <is>
          <t>Cached values are clearly not presented as live prices</t>
        </is>
      </c>
      <c r="C12" s="47" t="inlineStr">
        <is>
          <t>No</t>
        </is>
      </c>
      <c r="D12" s="47" t="inlineStr">
        <is>
          <t>No</t>
        </is>
      </c>
      <c r="E12" s="47" t="inlineStr">
        <is>
          <t>Partial</t>
        </is>
      </c>
      <c r="F12" s="47" t="inlineStr">
        <is>
          <t>No</t>
        </is>
      </c>
      <c r="G12" s="47" t="inlineStr">
        <is>
          <t>Partial</t>
        </is>
      </c>
      <c r="H12" s="47" t="inlineStr">
        <is>
          <t>Yes</t>
        </is>
      </c>
      <c r="I12" s="47" t="inlineStr">
        <is>
          <t>Yes</t>
        </is>
      </c>
    </row>
    <row r="13">
      <c r="A13" s="6" t="inlineStr">
        <is>
          <t>OF9</t>
        </is>
      </c>
      <c r="B13" s="11" t="inlineStr">
        <is>
          <t>No crash or ANR during offline ↔ online transitions</t>
        </is>
      </c>
      <c r="C13" s="47" t="inlineStr">
        <is>
          <t>Yes</t>
        </is>
      </c>
      <c r="D13" s="47" t="inlineStr">
        <is>
          <t>Yes</t>
        </is>
      </c>
      <c r="E13" s="47" t="inlineStr">
        <is>
          <t>Yes</t>
        </is>
      </c>
      <c r="F13" s="47" t="inlineStr">
        <is>
          <t>Yes</t>
        </is>
      </c>
      <c r="G13" s="47" t="inlineStr">
        <is>
          <t>Yes</t>
        </is>
      </c>
      <c r="H13" s="47" t="inlineStr">
        <is>
          <t>Yes</t>
        </is>
      </c>
      <c r="I13" s="47" t="inlineStr">
        <is>
          <t>Yes</t>
        </is>
      </c>
    </row>
    <row r="14">
      <c r="B14" s="27" t="inlineStr">
        <is>
          <t>Offline caching score (Yes=2, Partial=1, No=0; N/A excluded)</t>
        </is>
      </c>
      <c r="C14" s="48">
        <f>IF(COUNTIF(C5:C13,"Yes")+COUNTIF(C5:C13,"Partial")+COUNTIF(C5:C13,"No")=0,"",(2*COUNTIF(C5:C13,"Yes")+COUNTIF(C5:C13,"Partial"))/(2*(COUNTIF(C5:C13,"Yes")+COUNTIF(C5:C13,"Partial")+COUNTIF(C5:C13,"No"))))</f>
        <v/>
      </c>
      <c r="D14" s="48">
        <f>IF(COUNTIF(D5:D13,"Yes")+COUNTIF(D5:D13,"Partial")+COUNTIF(D5:D13,"No")=0,"",(2*COUNTIF(D5:D13,"Yes")+COUNTIF(D5:D13,"Partial"))/(2*(COUNTIF(D5:D13,"Yes")+COUNTIF(D5:D13,"Partial")+COUNTIF(D5:D13,"No"))))</f>
        <v/>
      </c>
      <c r="E14" s="48">
        <f>IF(COUNTIF(E5:E13,"Yes")+COUNTIF(E5:E13,"Partial")+COUNTIF(E5:E13,"No")=0,"",(2*COUNTIF(E5:E13,"Yes")+COUNTIF(E5:E13,"Partial"))/(2*(COUNTIF(E5:E13,"Yes")+COUNTIF(E5:E13,"Partial")+COUNTIF(E5:E13,"No"))))</f>
        <v/>
      </c>
      <c r="F14" s="48">
        <f>IF(COUNTIF(F5:F13,"Yes")+COUNTIF(F5:F13,"Partial")+COUNTIF(F5:F13,"No")=0,"",(2*COUNTIF(F5:F13,"Yes")+COUNTIF(F5:F13,"Partial"))/(2*(COUNTIF(F5:F13,"Yes")+COUNTIF(F5:F13,"Partial")+COUNTIF(F5:F13,"No"))))</f>
        <v/>
      </c>
      <c r="G14" s="48">
        <f>IF(COUNTIF(G5:G13,"Yes")+COUNTIF(G5:G13,"Partial")+COUNTIF(G5:G13,"No")=0,"",(2*COUNTIF(G5:G13,"Yes")+COUNTIF(G5:G13,"Partial"))/(2*(COUNTIF(G5:G13,"Yes")+COUNTIF(G5:G13,"Partial")+COUNTIF(G5:G13,"No"))))</f>
        <v/>
      </c>
      <c r="H14" s="48">
        <f>IF(COUNTIF(H5:H13,"Yes")+COUNTIF(H5:H13,"Partial")+COUNTIF(H5:H13,"No")=0,"",(2*COUNTIF(H5:H13,"Yes")+COUNTIF(H5:H13,"Partial"))/(2*(COUNTIF(H5:H13,"Yes")+COUNTIF(H5:H13,"Partial")+COUNTIF(H5:H13,"No"))))</f>
        <v/>
      </c>
      <c r="I14" s="48">
        <f>IF(COUNTIF(I5:I13,"Yes")+COUNTIF(I5:I13,"Partial")+COUNTIF(I5:I13,"No")=0,"",(2*COUNTIF(I5:I13,"Yes")+COUNTIF(I5:I13,"Partial"))/(2*(COUNTIF(I5:I13,"Yes")+COUNTIF(I5:I13,"Partial")+COUNTIF(I5:I13,"No"))))</f>
        <v/>
      </c>
    </row>
    <row r="16">
      <c r="A16" s="3" t="inlineStr">
        <is>
          <t>Observations (notes recorded with each item)</t>
        </is>
      </c>
    </row>
    <row r="17" ht="32" customHeight="1">
      <c r="A17" s="10" t="inlineStr">
        <is>
          <t>ID</t>
        </is>
      </c>
      <c r="B17" s="10" t="inlineStr">
        <is>
          <t>Scenario</t>
        </is>
      </c>
      <c r="C17" s="16" t="inlineStr">
        <is>
          <t>RISE</t>
        </is>
      </c>
      <c r="D17" s="10" t="inlineStr">
        <is>
          <t>Kite</t>
        </is>
      </c>
      <c r="E17" s="10" t="inlineStr">
        <is>
          <t>Groww</t>
        </is>
      </c>
      <c r="F17" s="10" t="inlineStr">
        <is>
          <t>Angel One</t>
        </is>
      </c>
      <c r="G17" s="10" t="inlineStr">
        <is>
          <t>INDmoney</t>
        </is>
      </c>
      <c r="H17" s="10" t="inlineStr">
        <is>
          <t>Kotak Neo</t>
        </is>
      </c>
      <c r="I17" s="10" t="inlineStr">
        <is>
          <t>SAHI</t>
        </is>
      </c>
    </row>
    <row r="18">
      <c r="A18" s="6" t="inlineStr">
        <is>
          <t>OF1</t>
        </is>
      </c>
      <c r="B18" s="11">
        <f>B5</f>
        <v/>
      </c>
      <c r="C18" s="49" t="inlineStr">
        <is>
          <t>Offline cold start opens the mPIN login screen ('Lets Get Started - Please enter your mPIN') with 'Oops, something went wrong! Please try again later.'; no cached watchlist; stays on mPIN until the ne</t>
        </is>
      </c>
      <c r="D18" s="49" t="inlineStr">
        <is>
          <t>Offline cold launch stops at Kite's own login screen (Login with biometric); watchlist not reachable without network. automated airplane-mode script on the phone, screenshots in ~/.riise-benchmark/art</t>
        </is>
      </c>
      <c r="E18" s="49" t="inlineStr">
        <is>
          <t>Offline cold launch shows 'Oops! Something went wrong.' (TwoFactorActivity); no cached list. automated airplane-mode script on the phone, screenshots in ~/.riise-benchmark/artifacts/watchlist/o1/</t>
        </is>
      </c>
      <c r="F18" s="49" t="inlineStr">
        <is>
          <t>Offline cold start (after PIN/biometric) shows Bench 20 with cached prices and changes (ULTRACEMCO 10,887, TITAN 4,230.10 ...); no stale marker. offline cold start + navigation script (14:09-14:10), s</t>
        </is>
      </c>
      <c r="G18" s="49" t="inlineStr">
        <is>
          <t>Offline cold start: Watchlist tab blank behind 'Error: Unable to connect with the server' dialog; no cached list (an earlier offline start landed on the Stocks tab with cached index values). The dialo</t>
        </is>
      </c>
      <c r="H18" s="49" t="inlineStr">
        <is>
          <t>Offline cold start: full-screen 'No internet connection found / Retry'; no cached list. automated airplane-mode script (market hours 13:58-14:01), screenshots in ~/.riise-benchmark/artifacts/watchlist</t>
        </is>
      </c>
      <c r="I18" s="49" t="inlineStr">
        <is>
          <t>Offline cold start stays on the SAHI logo splash screen for the whole offline period (two runs); no cached list. automated airplane-mode scripts (market hours 14:03-14:07), screenshots in ~/.riise-ben</t>
        </is>
      </c>
    </row>
    <row r="19">
      <c r="A19" s="6" t="inlineStr">
        <is>
          <t>OF2</t>
        </is>
      </c>
      <c r="B19" s="11">
        <f>B6</f>
        <v/>
      </c>
      <c r="C19" s="49" t="inlineStr">
        <is>
          <t>No timestamp or stale marker while offline. airplane-mode script (14:49-14:52) with RISE's screen text (UI tree) and a MacBook-camera video of the phone screen (screenshots blocked by FLAG_SECURE); fi</t>
        </is>
      </c>
      <c r="D19" s="49" t="inlineStr">
        <is>
          <t>No timestamp or stale marker while offline. automated airplane-mode script on the phone, screenshots in ~/.riise-benchmark/artifacts/watchlist/o1/</t>
        </is>
      </c>
      <c r="E19" s="49" t="inlineStr">
        <is>
          <t>No timestamp or stale marker. automated airplane-mode script on the phone, screenshots in ~/.riise-benchmark/artifacts/watchlist/o1/</t>
        </is>
      </c>
      <c r="F19" s="49" t="inlineStr">
        <is>
          <t>No timestamp or stale marker while offline. automated airplane-mode script on the phone (pre-open session, prices moving), screenshots in ~/.riise-benchmark/artifacts/watchlist/o1/angel</t>
        </is>
      </c>
      <c r="G19" s="49" t="inlineStr">
        <is>
          <t>No timestamp or stale marker on prices; only a 'No internet connection!' bar. automated airplane-mode script on the phone (market hours 13:50-13:53), screenshots in ~/.riise-benchmark/artifacts/watchl</t>
        </is>
      </c>
      <c r="H19" s="49" t="inlineStr">
        <is>
          <t>No cached data shown offline, so no timestamp. automated airplane-mode script (market hours 13:58-14:01), screenshots in ~/.riise-benchmark/artifacts/watchlist/o1/kotak</t>
        </is>
      </c>
      <c r="I19" s="49" t="inlineStr">
        <is>
          <t>No cached data shown offline. automated airplane-mode scripts (market hours 14:03-14:07), screenshots in ~/.riise-benchmark/artifacts/watchlist/o1/sahi and sahi-c</t>
        </is>
      </c>
    </row>
    <row r="20">
      <c r="A20" s="6" t="inlineStr">
        <is>
          <t>OF3</t>
        </is>
      </c>
      <c r="B20" s="11">
        <f>B7</f>
        <v/>
      </c>
      <c r="C20" s="49" t="inlineStr">
        <is>
          <t>Prices stayed visible for 30 s offline (ASIANPAINT 2,283.40 throughout). airplane-mode script (14:49-14:52) with RISE's screen text (UI tree) and a MacBook-camera video of the phone screen (screenshot</t>
        </is>
      </c>
      <c r="D20" s="49" t="inlineStr">
        <is>
          <t>Prices stayed visible for 30 s offline. automated airplane-mode script on the phone, screenshots in ~/.riise-benchmark/artifacts/watchlist/o1/</t>
        </is>
      </c>
      <c r="E20" s="49" t="inlineStr">
        <is>
          <t>Prices stayed visible for 30 s offline. automated airplane-mode script on the phone, screenshots in ~/.riise-benchmark/artifacts/watchlist/o1/</t>
        </is>
      </c>
      <c r="F20" s="49" t="inlineStr">
        <is>
          <t>Prices stayed visible for 30 s offline. automated airplane-mode script on the phone (pre-open session, prices moving), screenshots in ~/.riise-benchmark/artifacts/watchlist/o1/angel</t>
        </is>
      </c>
      <c r="G20" s="49" t="inlineStr">
        <is>
          <t>Prices stayed visible for 30 s offline. automated airplane-mode script on the phone (market hours 13:50-13:53), screenshots in ~/.riise-benchmark/artifacts/watchlist/o1/indmoney</t>
        </is>
      </c>
      <c r="H20" s="49" t="inlineStr">
        <is>
          <t>Prices visible for ~3 s, then the watchlist is replaced by a full-screen 'No internet connection found / Retry' page. automated airplane-mode script (market hours 13:58-14:01), screenshots in ~/.riise</t>
        </is>
      </c>
      <c r="I20" s="49" t="inlineStr">
        <is>
          <t>Within 3 s the watchlist is replaced by a full-screen 'No internet connection' page. automated airplane-mode scripts (market hours 14:03-14:07), screenshots in ~/.riise-benchmark/artifacts/watchlist/o</t>
        </is>
      </c>
    </row>
    <row r="21">
      <c r="A21" s="6" t="inlineStr">
        <is>
          <t>OF4</t>
        </is>
      </c>
      <c r="B21" s="11">
        <f>B8</f>
        <v/>
      </c>
      <c r="C21" s="49" t="inlineStr">
        <is>
          <t>No offline message in the screen text or on camera; only the system airplane icon. airplane-mode script (14:49-14:52) with RISE's screen text (UI tree) and a MacBook-camera video of the phone screen (</t>
        </is>
      </c>
      <c r="D21" s="49" t="inlineStr">
        <is>
          <t>No in-app message; only the system airplane icon. automated airplane-mode script on the phone, screenshots in ~/.riise-benchmark/artifacts/watchlist/o1/</t>
        </is>
      </c>
      <c r="E21" s="49" t="inlineStr">
        <is>
          <t>Banner 'Low internet. Check your internet connection.' while offline. automated airplane-mode script on the phone, screenshots in ~/.riise-benchmark/artifacts/watchlist/o1/</t>
        </is>
      </c>
      <c r="F21" s="49" t="inlineStr">
        <is>
          <t>No in-app message; only the system airplane icon. automated airplane-mode script on the phone (pre-open session, prices moving), screenshots in ~/.riise-benchmark/artifacts/watchlist/o1/angel</t>
        </is>
      </c>
      <c r="G21" s="49" t="inlineStr">
        <is>
          <t>Red 'No internet connection!' bar at the bottom while offline. automated airplane-mode script on the phone (market hours 13:50-13:53), screenshots in ~/.riise-benchmark/artifacts/watchlist/o1/indmoney</t>
        </is>
      </c>
      <c r="H21" s="49" t="inlineStr">
        <is>
          <t>Full-screen 'No internet connection found' with Retry. automated airplane-mode script (market hours 13:58-14:01), screenshots in ~/.riise-benchmark/artifacts/watchlist/o1/kotak</t>
        </is>
      </c>
      <c r="I21" s="49" t="inlineStr">
        <is>
          <t>Full-screen 'No internet connection - Please check your connection and try again'. automated airplane-mode scripts (market hours 14:03-14:07), screenshots in ~/.riise-benchmark/artifacts/watchlist/o1/</t>
        </is>
      </c>
    </row>
    <row r="22">
      <c r="A22" s="6" t="inlineStr">
        <is>
          <t>OF5</t>
        </is>
      </c>
      <c r="B22" s="11">
        <f>B9</f>
        <v/>
      </c>
      <c r="C22" s="49" t="inlineStr">
        <is>
          <t xml:space="preserve">Prices updated by themselves ~7 s after reconnect (ASIANPAINT 2,283.40 -&gt; 2,283.70 -&gt; 2,283.20). airplane-mode script (14:49-14:52) with RISE's screen text (UI tree) and a MacBook-camera video of the </t>
        </is>
      </c>
      <c r="D22" s="49" t="inlineStr">
        <is>
          <t>Prices updated by themselves within ~4-8 s of reconnect (NTPC 295.20 -&gt; 295.30 -&gt; 295.35). automated airplane-mode cycle on the phone during market hours (13:43-13:45), screenshots in ~/.riise-benchma</t>
        </is>
      </c>
      <c r="E22" s="49" t="inlineStr">
        <is>
          <t>Prices updated by themselves within a few s of reconnect (Reliance 1,184.90 -&gt; 1,185.90 -&gt; 1,186.00). automated airplane-mode cycle on the phone during market hours (13:43-13:45), screenshots in ~/.ri</t>
        </is>
      </c>
      <c r="F22" s="49" t="inlineStr">
        <is>
          <t>Within 5 s of reconnect prices updated by themselves (e.g. ULTRACEMCO 10,958 -&gt; 11,002). automated airplane-mode script on the phone (pre-open session, prices moving), screenshots in ~/.riise-benchmar</t>
        </is>
      </c>
      <c r="G22" s="49" t="inlineStr">
        <is>
          <t>Prices updated by themselves within seconds (UltraTech 10,931 -&gt; 10,925 -&gt; 10,924). automated airplane-mode script on the phone (market hours 13:50-13:53), screenshots in ~/.riise-benchmark/artifacts/</t>
        </is>
      </c>
      <c r="H22" s="49" t="inlineStr">
        <is>
          <t>Watchlist returned with fresh prices within ~5 s of reconnect, without tapping Retry. automated airplane-mode script (market hours 13:58-14:01), screenshots in ~/.riise-benchmark/artifacts/watchlist/o</t>
        </is>
      </c>
      <c r="I22" s="49" t="inlineStr">
        <is>
          <t>Watchlist returned with fresh prices within ~5 s of reconnect (UltraTech 10,947 -&gt; 10,950). automated airplane-mode scripts (market hours 14:03-14:07), screenshots in ~/.riise-benchmark/artifacts/watc</t>
        </is>
      </c>
    </row>
    <row r="23">
      <c r="A23" s="6" t="inlineStr">
        <is>
          <t>OF6</t>
        </is>
      </c>
      <c r="B23" s="11">
        <f>B10</f>
        <v/>
      </c>
      <c r="C23" s="49" t="inlineStr">
        <is>
          <t>Network drop and return while open: no PIN or login asked (an offline cold start does require mPIN - see item 1). airplane-mode script (14:49-14:52) with RISE's screen text (UI tree) and a MacBook-cam</t>
        </is>
      </c>
      <c r="D23" s="49" t="inlineStr">
        <is>
          <t>Network drop and return while open: no PIN or login asked. automated airplane-mode script on the phone, screenshots in ~/.riise-benchmark/artifacts/watchlist/o1/</t>
        </is>
      </c>
      <c r="E23" s="49" t="inlineStr">
        <is>
          <t>Network drop and return while open: no PIN or login asked. automated airplane-mode script on the phone, screenshots in ~/.riise-benchmark/artifacts/watchlist/o1/</t>
        </is>
      </c>
      <c r="F23" s="49" t="inlineStr">
        <is>
          <t>Network drop and return while open: no PIN or login asked. automated airplane-mode script on the phone (pre-open session, prices moving), screenshots in ~/.riise-benchmark/artifacts/watchlist/o1/angel</t>
        </is>
      </c>
      <c r="G23" s="49" t="inlineStr">
        <is>
          <t>No PIN or login asked after reconnect. automated airplane-mode script on the phone (market hours 13:50-13:53), screenshots in ~/.riise-benchmark/artifacts/watchlist/o1/indmoney</t>
        </is>
      </c>
      <c r="H23" s="49" t="inlineStr">
        <is>
          <t>No PIN or login asked. automated airplane-mode script (market hours 13:58-14:01), screenshots in ~/.riise-benchmark/artifacts/watchlist/o1/kotak</t>
        </is>
      </c>
      <c r="I23" s="49" t="inlineStr">
        <is>
          <t>No PIN or login asked. automated airplane-mode scripts (market hours 14:03-14:07), screenshots in ~/.riise-benchmark/artifacts/watchlist/o1/sahi and sahi-c</t>
        </is>
      </c>
    </row>
    <row r="24">
      <c r="A24" s="6" t="inlineStr">
        <is>
          <t>OF7</t>
        </is>
      </c>
      <c r="B24" s="11">
        <f>B11</f>
        <v/>
      </c>
      <c r="C24" s="49" t="inlineStr">
        <is>
          <t xml:space="preserve">Not reachable offline (mPIN login screen on an offline start). airplane-mode script (14:49-14:52) with RISE's screen text (UI tree) and a MacBook-camera video of the phone screen (screenshots blocked </t>
        </is>
      </c>
      <c r="D24" s="49" t="inlineStr">
        <is>
          <t>Not reachable offline (app stops at its login screen on an offline start). automated airplane-mode script on the phone, screenshots in ~/.riise-benchmark/artifacts/watchlist/o1/</t>
        </is>
      </c>
      <c r="E24" s="49" t="inlineStr">
        <is>
          <t>Not reachable offline (error screen on offline start). After reconnect the error stayed until 'TRY AGAIN' is tapped. automated airplane-mode script on the phone, screenshots in ~/.riise-benchmark/arti</t>
        </is>
      </c>
      <c r="F24" s="49" t="inlineStr">
        <is>
          <t>Offline, the stock sheet opens with the cached price, but OHLC and depth stay on a loading spinner; they load after reconnect. offline cold start + navigation script (14:09-14:10), screenshots in ~/.r</t>
        </is>
      </c>
      <c r="G24" s="49" t="inlineStr">
        <is>
          <t>Not reachable offline: the server-error dialog blocks the watchlist. offline cold start + navigation script (13:55-13:56), screenshots in ~/.riise-benchmark/artifacts/watchlist/o1/indmoney-c</t>
        </is>
      </c>
      <c r="H24" s="49" t="inlineStr">
        <is>
          <t>Not reachable offline (no-internet page on an offline start). automated airplane-mode script (market hours 13:58-14:01), screenshots in ~/.riise-benchmark/artifacts/watchlist/o1/kotak</t>
        </is>
      </c>
      <c r="I24" s="49" t="inlineStr">
        <is>
          <t>Not reachable offline (app stays on its splash screen). automated airplane-mode scripts (market hours 14:03-14:07), screenshots in ~/.riise-benchmark/artifacts/watchlist/o1/sahi and sahi-c</t>
        </is>
      </c>
    </row>
    <row r="25">
      <c r="A25" s="6" t="inlineStr">
        <is>
          <t>OF8</t>
        </is>
      </c>
      <c r="B25" s="11">
        <f>B12</f>
        <v/>
      </c>
      <c r="C25" s="49" t="inlineStr">
        <is>
          <t>Offline prices look identical to live ones; no marker. airplane-mode script (14:49-14:52) with RISE's screen text (UI tree) and a MacBook-camera video of the phone screen (screenshots blocked by FLAG_</t>
        </is>
      </c>
      <c r="D25" s="49" t="inlineStr">
        <is>
          <t>Offline prices look identical to live ones. automated airplane-mode script on the phone, screenshots in ~/.riise-benchmark/artifacts/watchlist/o1/</t>
        </is>
      </c>
      <c r="E25" s="49" t="inlineStr">
        <is>
          <t>Prices not greyed or marked, but the Low internet banner warns. automated airplane-mode script on the phone, screenshots in ~/.riise-benchmark/artifacts/watchlist/o1/</t>
        </is>
      </c>
      <c r="F25" s="49" t="inlineStr">
        <is>
          <t>Offline prices look identical to live ones. automated airplane-mode script on the phone (pre-open session, prices moving), screenshots in ~/.riise-benchmark/artifacts/watchlist/o1/angel</t>
        </is>
      </c>
      <c r="G25" s="49" t="inlineStr">
        <is>
          <t>Prices not greyed or marked, but the No internet bar warns. automated airplane-mode script on the phone (market hours 13:50-13:53), screenshots in ~/.riise-benchmark/artifacts/watchlist/o1/indmoney</t>
        </is>
      </c>
      <c r="H25" s="49" t="inlineStr">
        <is>
          <t>Kotak hides prices when offline instead of showing stale ones, so stale data is never presented as live. automated airplane-mode script (market hours 13:58-14:01), screenshots in ~/.riise-benchmark/ar</t>
        </is>
      </c>
      <c r="I25" s="49" t="inlineStr">
        <is>
          <t xml:space="preserve">SAHI hides prices when offline, so stale data is never presented as live. automated airplane-mode scripts (market hours 14:03-14:07), screenshots in ~/.riise-benchmark/artifacts/watchlist/o1/sahi and </t>
        </is>
      </c>
    </row>
    <row r="26">
      <c r="A26" s="6" t="inlineStr">
        <is>
          <t>OF9</t>
        </is>
      </c>
      <c r="B26" s="11">
        <f>B13</f>
        <v/>
      </c>
      <c r="C26" s="49" t="inlineStr">
        <is>
          <t>No crash or ANR; the offline start shows a generic error on the login screen. airplane-mode script (14:49-14:52) with RISE's screen text (UI tree) and a MacBook-camera video of the phone screen (scree</t>
        </is>
      </c>
      <c r="D26" s="49" t="inlineStr">
        <is>
          <t>No crash or ANR in either part. automated airplane-mode script on the phone, screenshots in ~/.riise-benchmark/artifacts/watchlist/o1/</t>
        </is>
      </c>
      <c r="E26" s="49" t="inlineStr">
        <is>
          <t>No crash or ANR. automated airplane-mode script on the phone, screenshots in ~/.riise-benchmark/artifacts/watchlist/o1/</t>
        </is>
      </c>
      <c r="F26" s="49" t="inlineStr">
        <is>
          <t>No crash or ANR. automated airplane-mode script on the phone (pre-open session, prices moving), screenshots in ~/.riise-benchmark/artifacts/watchlist/o1/angel</t>
        </is>
      </c>
      <c r="G26" s="49" t="inlineStr">
        <is>
          <t>No crash or ANR. automated airplane-mode script on the phone (market hours 13:50-13:53), screenshots in ~/.riise-benchmark/artifacts/watchlist/o1/indmoney</t>
        </is>
      </c>
      <c r="H26" s="49" t="inlineStr">
        <is>
          <t>No crash or ANR. automated airplane-mode script (market hours 13:58-14:01), screenshots in ~/.riise-benchmark/artifacts/watchlist/o1/kotak</t>
        </is>
      </c>
      <c r="I26" s="49" t="inlineStr">
        <is>
          <t>No crash or ANR (offline start waits on the splash screen). automated airplane-mode scripts (market hours 14:03-14:07), screenshots in ~/.riise-benchmark/artifacts/watchlist/o1/sahi and sahi-c</t>
        </is>
      </c>
    </row>
  </sheetData>
  <conditionalFormatting sqref="C5:I13">
    <cfRule type="cellIs" priority="1" operator="equal" dxfId="0">
      <formula>"Yes"</formula>
    </cfRule>
    <cfRule type="cellIs" priority="2" operator="equal" dxfId="5">
      <formula>"Partial"</formula>
    </cfRule>
    <cfRule type="cellIs" priority="3" operator="equal" dxfId="6">
      <formula>"No"</formula>
    </cfRule>
  </conditionalFormatting>
  <dataValidations count="1">
    <dataValidation sqref="C5 C6 C7 C8 C9 C10 C11 C12 C13 D5 D6 D7 D8 D9 D10 D11 D12 D13 E5 E6 E7 E8 E9 E10 E11 E12 E13 F5 F6 F7 F8 F9 F10 F11 F12 F13 G5 G6 G7 G8 G9 G10 G11 G12 G13 H5 H6 H7 H8 H9 H10 H11 H12 H13 I5 I6 I7 I8 I9 I10 I11 I12 I13" showDropDown="0" showInputMessage="0" showErrorMessage="0" allowBlank="1" type="list">
      <formula1>"Yes,Partial,No,N/A"</formula1>
    </dataValidation>
  </dataValidations>
  <pageMargins left="0.75" right="0.75" top="1" bottom="1" header="0.5" footer="0.5"/>
</worksheet>
</file>

<file path=xl/worksheets/sheet10.xml><?xml version="1.0" encoding="utf-8"?>
<worksheet xmlns="http://schemas.openxmlformats.org/spreadsheetml/2006/main">
  <sheetPr>
    <tabColor rgb="00FFC000"/>
    <outlinePr summaryBelow="1" summaryRight="1"/>
    <pageSetUpPr/>
  </sheetPr>
  <dimension ref="A1:J1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8" customWidth="1" min="2" max="2"/>
    <col width="4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5 Data Pointers</t>
        </is>
      </c>
    </row>
    <row r="2">
      <c r="A2" s="2" t="inlineStr">
        <is>
          <t>Which data points and features each app offers on Watchlist tab &gt; Bench 20. Yes / Partial / No / N/A per item, from record.py.</t>
        </is>
      </c>
    </row>
    <row r="4" ht="32" customHeight="1">
      <c r="A4" s="10" t="inlineStr">
        <is>
          <t>ID</t>
        </is>
      </c>
      <c r="B4" s="10" t="inlineStr">
        <is>
          <t>Group</t>
        </is>
      </c>
      <c r="C4" s="10" t="inlineStr">
        <is>
          <t>Data pointer / feature</t>
        </is>
      </c>
      <c r="D4" s="16" t="inlineStr">
        <is>
          <t>RISE</t>
        </is>
      </c>
      <c r="E4" s="10" t="inlineStr">
        <is>
          <t>Kite</t>
        </is>
      </c>
      <c r="F4" s="10" t="inlineStr">
        <is>
          <t>Groww</t>
        </is>
      </c>
      <c r="G4" s="10" t="inlineStr">
        <is>
          <t>Angel One</t>
        </is>
      </c>
      <c r="H4" s="10" t="inlineStr">
        <is>
          <t>INDmoney</t>
        </is>
      </c>
      <c r="I4" s="10" t="inlineStr">
        <is>
          <t>Kotak Neo</t>
        </is>
      </c>
      <c r="J4" s="10" t="inlineStr">
        <is>
          <t>SAHI</t>
        </is>
      </c>
    </row>
    <row r="5">
      <c r="A5" s="6" t="inlineStr">
        <is>
          <t>DP1</t>
        </is>
      </c>
      <c r="B5" s="6" t="inlineStr">
        <is>
          <t>Watchlist</t>
        </is>
      </c>
      <c r="C5" s="6" t="inlineStr">
        <is>
          <t>Live LTP and change</t>
        </is>
      </c>
      <c r="D5" s="47" t="inlineStr">
        <is>
          <t>Yes</t>
        </is>
      </c>
      <c r="E5" s="47" t="inlineStr">
        <is>
          <t>Yes</t>
        </is>
      </c>
      <c r="F5" s="47" t="inlineStr">
        <is>
          <t>Yes</t>
        </is>
      </c>
      <c r="G5" s="47" t="inlineStr">
        <is>
          <t>Yes</t>
        </is>
      </c>
      <c r="H5" s="47" t="inlineStr">
        <is>
          <t>Yes</t>
        </is>
      </c>
      <c r="I5" s="47" t="inlineStr">
        <is>
          <t>Yes</t>
        </is>
      </c>
      <c r="J5" s="47" t="inlineStr">
        <is>
          <t>Yes</t>
        </is>
      </c>
    </row>
    <row r="6">
      <c r="A6" s="6" t="inlineStr">
        <is>
          <t>DP2</t>
        </is>
      </c>
      <c r="B6" s="6" t="inlineStr">
        <is>
          <t>Watchlist</t>
        </is>
      </c>
      <c r="C6" s="6" t="inlineStr">
        <is>
          <t>Sparkline / mini chart</t>
        </is>
      </c>
      <c r="D6" s="47" t="inlineStr">
        <is>
          <t>No</t>
        </is>
      </c>
      <c r="E6" s="47" t="inlineStr">
        <is>
          <t>No</t>
        </is>
      </c>
      <c r="F6" s="47" t="inlineStr">
        <is>
          <t>Yes</t>
        </is>
      </c>
      <c r="G6" s="47" t="inlineStr">
        <is>
          <t>No</t>
        </is>
      </c>
      <c r="H6" s="47" t="inlineStr">
        <is>
          <t>No</t>
        </is>
      </c>
      <c r="I6" s="47" t="inlineStr">
        <is>
          <t>No</t>
        </is>
      </c>
      <c r="J6" s="47" t="inlineStr">
        <is>
          <t>Yes</t>
        </is>
      </c>
    </row>
    <row r="7">
      <c r="A7" s="6" t="inlineStr">
        <is>
          <t>DP3</t>
        </is>
      </c>
      <c r="B7" s="6" t="inlineStr">
        <is>
          <t>Watchlist</t>
        </is>
      </c>
      <c r="C7" s="6" t="inlineStr">
        <is>
          <t>Market depth from watchlist</t>
        </is>
      </c>
      <c r="D7" s="47" t="inlineStr">
        <is>
          <t>Partial</t>
        </is>
      </c>
      <c r="E7" s="47" t="inlineStr">
        <is>
          <t>Yes</t>
        </is>
      </c>
      <c r="F7" s="47" t="inlineStr">
        <is>
          <t>Partial</t>
        </is>
      </c>
      <c r="G7" s="47" t="inlineStr">
        <is>
          <t>Yes</t>
        </is>
      </c>
      <c r="H7" s="47" t="inlineStr">
        <is>
          <t>Partial</t>
        </is>
      </c>
      <c r="I7" s="47" t="inlineStr">
        <is>
          <t>Partial</t>
        </is>
      </c>
      <c r="J7" s="47" t="inlineStr">
        <is>
          <t>No</t>
        </is>
      </c>
    </row>
    <row r="8">
      <c r="A8" s="6" t="inlineStr">
        <is>
          <t>DP4</t>
        </is>
      </c>
      <c r="B8" s="6" t="inlineStr">
        <is>
          <t>Watchlist</t>
        </is>
      </c>
      <c r="C8" s="6" t="inlineStr">
        <is>
          <t>Multiple watchlists</t>
        </is>
      </c>
      <c r="D8" s="47" t="inlineStr">
        <is>
          <t>Yes</t>
        </is>
      </c>
      <c r="E8" s="47" t="inlineStr">
        <is>
          <t>Yes</t>
        </is>
      </c>
      <c r="F8" s="47" t="inlineStr">
        <is>
          <t>Yes</t>
        </is>
      </c>
      <c r="G8" s="47" t="inlineStr">
        <is>
          <t>Yes</t>
        </is>
      </c>
      <c r="H8" s="47" t="inlineStr">
        <is>
          <t>Yes</t>
        </is>
      </c>
      <c r="I8" s="47" t="inlineStr">
        <is>
          <t>Yes</t>
        </is>
      </c>
      <c r="J8" s="47" t="inlineStr">
        <is>
          <t>Yes</t>
        </is>
      </c>
    </row>
    <row r="9">
      <c r="A9" s="6" t="inlineStr">
        <is>
          <t>DP5</t>
        </is>
      </c>
      <c r="B9" s="6" t="inlineStr">
        <is>
          <t>Watchlist</t>
        </is>
      </c>
      <c r="C9" s="6" t="inlineStr">
        <is>
          <t>Sort / reorder</t>
        </is>
      </c>
      <c r="D9" s="47" t="inlineStr">
        <is>
          <t>Yes</t>
        </is>
      </c>
      <c r="E9" s="47" t="inlineStr">
        <is>
          <t>Yes</t>
        </is>
      </c>
      <c r="F9" s="47" t="inlineStr">
        <is>
          <t>Yes</t>
        </is>
      </c>
      <c r="G9" s="47" t="inlineStr">
        <is>
          <t>Yes</t>
        </is>
      </c>
      <c r="H9" s="47" t="inlineStr">
        <is>
          <t>Yes</t>
        </is>
      </c>
      <c r="I9" s="47" t="inlineStr">
        <is>
          <t>Yes</t>
        </is>
      </c>
      <c r="J9" s="47" t="inlineStr">
        <is>
          <t>Yes</t>
        </is>
      </c>
    </row>
    <row r="10">
      <c r="A10" s="6" t="inlineStr">
        <is>
          <t>DP6</t>
        </is>
      </c>
      <c r="B10" s="6" t="inlineStr">
        <is>
          <t>Watchlist</t>
        </is>
      </c>
      <c r="C10" s="6" t="inlineStr">
        <is>
          <t>Add from search</t>
        </is>
      </c>
      <c r="D10" s="47" t="inlineStr">
        <is>
          <t>Yes</t>
        </is>
      </c>
      <c r="E10" s="47" t="inlineStr">
        <is>
          <t>Yes</t>
        </is>
      </c>
      <c r="F10" s="47" t="inlineStr">
        <is>
          <t>Yes</t>
        </is>
      </c>
      <c r="G10" s="47" t="inlineStr">
        <is>
          <t>Yes</t>
        </is>
      </c>
      <c r="H10" s="47" t="inlineStr">
        <is>
          <t>Yes</t>
        </is>
      </c>
      <c r="I10" s="47" t="inlineStr">
        <is>
          <t>Yes</t>
        </is>
      </c>
      <c r="J10" s="47" t="inlineStr">
        <is>
          <t>Yes</t>
        </is>
      </c>
    </row>
    <row r="11">
      <c r="A11" s="6" t="inlineStr">
        <is>
          <t>DP7</t>
        </is>
      </c>
      <c r="B11" s="6" t="inlineStr">
        <is>
          <t>Watchlist</t>
        </is>
      </c>
      <c r="C11" s="6" t="inlineStr">
        <is>
          <t>Alerts from watchlist</t>
        </is>
      </c>
      <c r="D11" s="47" t="inlineStr">
        <is>
          <t>Partial</t>
        </is>
      </c>
      <c r="E11" s="47" t="inlineStr">
        <is>
          <t>Yes</t>
        </is>
      </c>
      <c r="F11" s="47" t="inlineStr">
        <is>
          <t>Yes</t>
        </is>
      </c>
      <c r="G11" s="47" t="inlineStr">
        <is>
          <t>Partial</t>
        </is>
      </c>
      <c r="H11" s="47" t="inlineStr">
        <is>
          <t>Partial</t>
        </is>
      </c>
      <c r="I11" s="47" t="inlineStr">
        <is>
          <t>Yes</t>
        </is>
      </c>
      <c r="J11" s="47" t="inlineStr">
        <is>
          <t>Partial</t>
        </is>
      </c>
    </row>
    <row r="12">
      <c r="A12" s="6" t="inlineStr">
        <is>
          <t>DP8</t>
        </is>
      </c>
      <c r="B12" s="6" t="inlineStr">
        <is>
          <t>Watchlist</t>
        </is>
      </c>
      <c r="C12" s="6" t="inlineStr">
        <is>
          <t>Quick buy / sell</t>
        </is>
      </c>
      <c r="D12" s="47" t="inlineStr">
        <is>
          <t>Partial</t>
        </is>
      </c>
      <c r="E12" s="47" t="inlineStr">
        <is>
          <t>Yes</t>
        </is>
      </c>
      <c r="F12" s="47" t="inlineStr">
        <is>
          <t>Yes</t>
        </is>
      </c>
      <c r="G12" s="47" t="inlineStr">
        <is>
          <t>Yes</t>
        </is>
      </c>
      <c r="H12" s="47" t="inlineStr">
        <is>
          <t>Partial</t>
        </is>
      </c>
      <c r="I12" s="47" t="inlineStr">
        <is>
          <t>Yes</t>
        </is>
      </c>
      <c r="J12" s="47" t="inlineStr">
        <is>
          <t>Partial</t>
        </is>
      </c>
    </row>
    <row r="13">
      <c r="A13" s="6" t="inlineStr">
        <is>
          <t>DP9</t>
        </is>
      </c>
      <c r="B13" s="6" t="inlineStr">
        <is>
          <t>Watchlist</t>
        </is>
      </c>
      <c r="C13" s="6" t="inlineStr">
        <is>
          <t>Dark mode</t>
        </is>
      </c>
      <c r="D13" s="47" t="inlineStr">
        <is>
          <t>Yes</t>
        </is>
      </c>
      <c r="E13" s="47" t="inlineStr">
        <is>
          <t>Yes</t>
        </is>
      </c>
      <c r="F13" s="47" t="inlineStr">
        <is>
          <t>Yes</t>
        </is>
      </c>
      <c r="G13" s="47" t="inlineStr">
        <is>
          <t>Yes</t>
        </is>
      </c>
      <c r="H13" s="47" t="inlineStr">
        <is>
          <t>Yes</t>
        </is>
      </c>
      <c r="I13" s="47" t="inlineStr">
        <is>
          <t>Yes</t>
        </is>
      </c>
      <c r="J13" s="47" t="inlineStr">
        <is>
          <t>Yes</t>
        </is>
      </c>
    </row>
    <row r="14">
      <c r="C14" s="27" t="inlineStr">
        <is>
          <t>Coverage (Yes=1, Partial=0.5, No=0; N/A excluded)</t>
        </is>
      </c>
      <c r="D14" s="48">
        <f>IF(COUNTIF(D5:D13,"Yes")+COUNTIF(D5:D13,"Partial")+COUNTIF(D5:D13,"No")=0,"",(COUNTIF(D5:D13,"Yes")+0.5*COUNTIF(D5:D13,"Partial"))/(COUNTIF(D5:D13,"Yes")+COUNTIF(D5:D13,"Partial")+COUNTIF(D5:D13,"No")))</f>
        <v/>
      </c>
      <c r="E14" s="48">
        <f>IF(COUNTIF(E5:E13,"Yes")+COUNTIF(E5:E13,"Partial")+COUNTIF(E5:E13,"No")=0,"",(COUNTIF(E5:E13,"Yes")+0.5*COUNTIF(E5:E13,"Partial"))/(COUNTIF(E5:E13,"Yes")+COUNTIF(E5:E13,"Partial")+COUNTIF(E5:E13,"No")))</f>
        <v/>
      </c>
      <c r="F14" s="48">
        <f>IF(COUNTIF(F5:F13,"Yes")+COUNTIF(F5:F13,"Partial")+COUNTIF(F5:F13,"No")=0,"",(COUNTIF(F5:F13,"Yes")+0.5*COUNTIF(F5:F13,"Partial"))/(COUNTIF(F5:F13,"Yes")+COUNTIF(F5:F13,"Partial")+COUNTIF(F5:F13,"No")))</f>
        <v/>
      </c>
      <c r="G14" s="48">
        <f>IF(COUNTIF(G5:G13,"Yes")+COUNTIF(G5:G13,"Partial")+COUNTIF(G5:G13,"No")=0,"",(COUNTIF(G5:G13,"Yes")+0.5*COUNTIF(G5:G13,"Partial"))/(COUNTIF(G5:G13,"Yes")+COUNTIF(G5:G13,"Partial")+COUNTIF(G5:G13,"No")))</f>
        <v/>
      </c>
      <c r="H14" s="48">
        <f>IF(COUNTIF(H5:H13,"Yes")+COUNTIF(H5:H13,"Partial")+COUNTIF(H5:H13,"No")=0,"",(COUNTIF(H5:H13,"Yes")+0.5*COUNTIF(H5:H13,"Partial"))/(COUNTIF(H5:H13,"Yes")+COUNTIF(H5:H13,"Partial")+COUNTIF(H5:H13,"No")))</f>
        <v/>
      </c>
      <c r="I14" s="48">
        <f>IF(COUNTIF(I5:I13,"Yes")+COUNTIF(I5:I13,"Partial")+COUNTIF(I5:I13,"No")=0,"",(COUNTIF(I5:I13,"Yes")+0.5*COUNTIF(I5:I13,"Partial"))/(COUNTIF(I5:I13,"Yes")+COUNTIF(I5:I13,"Partial")+COUNTIF(I5:I13,"No")))</f>
        <v/>
      </c>
      <c r="J14" s="48">
        <f>IF(COUNTIF(J5:J13,"Yes")+COUNTIF(J5:J13,"Partial")+COUNTIF(J5:J13,"No")=0,"",(COUNTIF(J5:J13,"Yes")+0.5*COUNTIF(J5:J13,"Partial"))/(COUNTIF(J5:J13,"Yes")+COUNTIF(J5:J13,"Partial")+COUNTIF(J5:J13,"No")))</f>
        <v/>
      </c>
    </row>
  </sheetData>
  <conditionalFormatting sqref="D5:J13">
    <cfRule type="cellIs" priority="1" operator="equal" dxfId="0">
      <formula>"Yes"</formula>
    </cfRule>
    <cfRule type="cellIs" priority="2" operator="equal" dxfId="5">
      <formula>"Partial"</formula>
    </cfRule>
    <cfRule type="cellIs" priority="3" operator="equal" dxfId="6">
      <formula>"No"</formula>
    </cfRule>
  </conditionalFormatting>
  <dataValidations count="1">
    <dataValidation sqref="D5:J13" showDropDown="0" showInputMessage="0" showErrorMessage="0" allowBlank="1" type="list">
      <formula1>"Yes,Partial,No,N/A"</formula1>
    </dataValidation>
  </dataValidations>
  <pageMargins left="0.75" right="0.75" top="1" bottom="1" header="0.5" footer="0.5"/>
</worksheet>
</file>

<file path=xl/worksheets/sheet11.xml><?xml version="1.0" encoding="utf-8"?>
<worksheet xmlns="http://schemas.openxmlformats.org/spreadsheetml/2006/main">
  <sheetPr>
    <tabColor rgb="00FFC000"/>
    <outlinePr summaryBelow="1" summaryRight="1"/>
    <pageSetUpPr/>
  </sheetPr>
  <dimension ref="A1:L11"/>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2" customWidth="1" min="2" max="2"/>
    <col width="13" customWidth="1" min="3" max="3"/>
    <col width="18" customWidth="1" min="4" max="4"/>
    <col width="16" customWidth="1" min="5" max="5"/>
    <col width="16" customWidth="1" min="6" max="6"/>
    <col width="26" customWidth="1" min="7" max="7"/>
    <col width="26" customWidth="1" min="8" max="8"/>
    <col width="22" customWidth="1" min="9" max="9"/>
    <col width="30" customWidth="1" min="10" max="10"/>
    <col width="30" customWidth="1" min="11" max="11"/>
    <col width="13" customWidth="1" min="12" max="12"/>
  </cols>
  <sheetData>
    <row r="1">
      <c r="A1" s="1" t="inlineStr">
        <is>
          <t>6 SDKs</t>
        </is>
      </c>
    </row>
    <row r="2">
      <c r="A2" s="2" t="inlineStr">
        <is>
          <t>External SDK footprint. Counts from Exodus Privacy, PCAPdroid and bench.py (X4); SDK names from Exodus and LibChecker.</t>
        </is>
      </c>
    </row>
    <row r="4" ht="32" customHeight="1">
      <c r="A4" s="10" t="inlineStr">
        <is>
          <t>App</t>
        </is>
      </c>
      <c r="B4" s="10" t="inlineStr">
        <is>
          <t>Trackers (Exodus)</t>
        </is>
      </c>
      <c r="C4" s="10" t="inlineStr">
        <is>
          <t>Permissions (Exodus)</t>
        </is>
      </c>
      <c r="D4" s="10" t="inlineStr">
        <is>
          <t>Third-party domains on screen (PCAPdroid)</t>
        </is>
      </c>
      <c r="E4" s="10" t="inlineStr">
        <is>
          <t>Start-up lock contention (X4)</t>
        </is>
      </c>
      <c r="F4" s="10" t="inlineStr">
        <is>
          <t>Total domains on screen (PCAPdroid)</t>
        </is>
      </c>
      <c r="G4" s="10" t="inlineStr">
        <is>
          <t>Analytics SDKs</t>
        </is>
      </c>
      <c r="H4" s="10" t="inlineStr">
        <is>
          <t>Attribution / marketing SDKs</t>
        </is>
      </c>
      <c r="I4" s="10" t="inlineStr">
        <is>
          <t>Crash / APM SDKs</t>
        </is>
      </c>
      <c r="J4" s="10" t="inlineStr">
        <is>
          <t>Other notable SDKs (LibChecker)</t>
        </is>
      </c>
      <c r="K4" s="10" t="inlineStr">
        <is>
          <t>Exodus report URL</t>
        </is>
      </c>
      <c r="L4" s="10" t="inlineStr">
        <is>
          <t>Date checked</t>
        </is>
      </c>
    </row>
    <row r="5">
      <c r="A5" s="50" t="inlineStr">
        <is>
          <t>RISE</t>
        </is>
      </c>
      <c r="B5" s="51" t="n">
        <v>5</v>
      </c>
      <c r="C5" s="51" t="n">
        <v>34</v>
      </c>
      <c r="D5" s="51" t="n">
        <v>9</v>
      </c>
      <c r="E5" s="51" t="n">
        <v>0</v>
      </c>
      <c r="F5" s="51" t="n"/>
      <c r="G5" s="49" t="n"/>
      <c r="H5" s="49" t="n"/>
      <c r="I5" s="49" t="n"/>
      <c r="J5" s="49" t="n"/>
      <c r="K5" s="49" t="n"/>
      <c r="L5" s="66" t="n"/>
    </row>
    <row r="6">
      <c r="A6" s="27" t="inlineStr">
        <is>
          <t>Kite</t>
        </is>
      </c>
      <c r="B6" s="51" t="n">
        <v>2</v>
      </c>
      <c r="C6" s="51" t="n">
        <v>14</v>
      </c>
      <c r="D6" s="51" t="n">
        <v>2</v>
      </c>
      <c r="E6" s="51" t="n">
        <v>0</v>
      </c>
      <c r="F6" s="51" t="n"/>
      <c r="G6" s="49" t="n"/>
      <c r="H6" s="49" t="n"/>
      <c r="I6" s="49" t="n"/>
      <c r="J6" s="49" t="n"/>
      <c r="K6" s="49" t="n"/>
      <c r="L6" s="66" t="n"/>
    </row>
    <row r="7">
      <c r="A7" s="27" t="inlineStr">
        <is>
          <t>Groww</t>
        </is>
      </c>
      <c r="B7" s="51" t="n">
        <v>6</v>
      </c>
      <c r="C7" s="51" t="n">
        <v>50</v>
      </c>
      <c r="D7" s="51" t="n">
        <v>3</v>
      </c>
      <c r="E7" s="51" t="n">
        <v>0</v>
      </c>
      <c r="F7" s="51" t="n"/>
      <c r="G7" s="49" t="n"/>
      <c r="H7" s="49" t="n"/>
      <c r="I7" s="49" t="n"/>
      <c r="J7" s="49" t="n"/>
      <c r="K7" s="49" t="n"/>
      <c r="L7" s="66" t="n"/>
    </row>
    <row r="8">
      <c r="A8" s="27" t="inlineStr">
        <is>
          <t>Angel One</t>
        </is>
      </c>
      <c r="B8" s="51" t="n">
        <v>8</v>
      </c>
      <c r="C8" s="51" t="n">
        <v>38</v>
      </c>
      <c r="D8" s="51" t="n">
        <v>5</v>
      </c>
      <c r="E8" s="51" t="n">
        <v>0</v>
      </c>
      <c r="F8" s="51" t="n"/>
      <c r="G8" s="49" t="n"/>
      <c r="H8" s="49" t="n"/>
      <c r="I8" s="49" t="n"/>
      <c r="J8" s="49" t="n"/>
      <c r="K8" s="49" t="n"/>
      <c r="L8" s="66" t="n"/>
    </row>
    <row r="9">
      <c r="A9" s="27" t="inlineStr">
        <is>
          <t>INDmoney</t>
        </is>
      </c>
      <c r="B9" s="51" t="n">
        <v>7</v>
      </c>
      <c r="C9" s="51" t="n">
        <v>35</v>
      </c>
      <c r="D9" s="51" t="n">
        <v>4</v>
      </c>
      <c r="E9" s="51" t="n">
        <v>0</v>
      </c>
      <c r="F9" s="51" t="n"/>
      <c r="G9" s="49" t="n"/>
      <c r="H9" s="49" t="n"/>
      <c r="I9" s="49" t="n"/>
      <c r="J9" s="49" t="n"/>
      <c r="K9" s="49" t="n"/>
      <c r="L9" s="66" t="n"/>
    </row>
    <row r="10">
      <c r="A10" s="27" t="inlineStr">
        <is>
          <t>Kotak Neo</t>
        </is>
      </c>
      <c r="B10" s="51" t="n">
        <v>5</v>
      </c>
      <c r="C10" s="51" t="n">
        <v>34</v>
      </c>
      <c r="D10" s="51" t="n">
        <v>4</v>
      </c>
      <c r="E10" s="51" t="n">
        <v>0</v>
      </c>
      <c r="F10" s="51" t="n"/>
      <c r="G10" s="49" t="n"/>
      <c r="H10" s="49" t="n"/>
      <c r="I10" s="49" t="n"/>
      <c r="J10" s="49" t="n"/>
      <c r="K10" s="49" t="n"/>
      <c r="L10" s="66" t="n"/>
    </row>
    <row r="11">
      <c r="A11" s="27" t="inlineStr">
        <is>
          <t>SAHI</t>
        </is>
      </c>
      <c r="B11" s="51" t="n">
        <v>6</v>
      </c>
      <c r="C11" s="51" t="n">
        <v>26</v>
      </c>
      <c r="D11" s="51" t="n">
        <v>1</v>
      </c>
      <c r="E11" s="51" t="n">
        <v>0</v>
      </c>
      <c r="F11" s="51" t="n"/>
      <c r="G11" s="49" t="n"/>
      <c r="H11" s="49" t="n"/>
      <c r="I11" s="49" t="n"/>
      <c r="J11" s="49" t="n"/>
      <c r="K11" s="49" t="n"/>
      <c r="L11" s="66" t="n"/>
    </row>
  </sheetData>
  <pageMargins left="0.75" right="0.75" top="1" bottom="1" header="0.5" footer="0.5"/>
</worksheet>
</file>

<file path=xl/worksheets/sheet12.xml><?xml version="1.0" encoding="utf-8"?>
<worksheet xmlns="http://schemas.openxmlformats.org/spreadsheetml/2006/main">
  <sheetPr>
    <tabColor rgb="00FFC000"/>
    <outlinePr summaryBelow="1" summaryRight="1"/>
    <pageSetUpPr/>
  </sheetPr>
  <dimension ref="A1:P67"/>
  <sheetViews>
    <sheetView showGridLines="0" workbookViewId="0">
      <pane xSplit="6" ySplit="4" topLeftCell="G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6" customWidth="1" min="2" max="2"/>
    <col width="7" customWidth="1" min="3" max="3"/>
    <col width="13" customWidth="1" min="4" max="4"/>
    <col width="22" customWidth="1" min="5" max="5"/>
    <col width="14" customWidth="1" min="6" max="6"/>
    <col width="9" customWidth="1" min="7" max="7"/>
    <col width="9" customWidth="1" min="8" max="8"/>
    <col width="9" customWidth="1" min="9" max="9"/>
    <col width="9" customWidth="1" min="10" max="10"/>
    <col width="9" customWidth="1" min="11" max="11"/>
    <col width="10" customWidth="1" min="12" max="12"/>
    <col width="9" customWidth="1" min="13" max="13"/>
    <col width="9" customWidth="1" min="14" max="14"/>
    <col width="10" customWidth="1" min="15" max="15"/>
    <col width="36" customWidth="1" min="16" max="16"/>
  </cols>
  <sheetData>
    <row r="1">
      <c r="A1" s="1" t="inlineStr">
        <is>
          <t>7 RAM &amp; Storage</t>
        </is>
      </c>
    </row>
    <row r="2">
      <c r="A2" s="2" t="inlineStr">
        <is>
          <t>RAM (Total PSS) with the Java/native/code/graphics split in Notes, the leak check, and storage. Storage rows need Run 1 only.</t>
        </is>
      </c>
    </row>
    <row r="4" ht="32" customHeight="1">
      <c r="A4" s="10" t="inlineStr">
        <is>
          <t>ID</t>
        </is>
      </c>
      <c r="B4" s="10" t="inlineStr">
        <is>
          <t>Metric</t>
        </is>
      </c>
      <c r="C4" s="10" t="inlineStr">
        <is>
          <t>Unit</t>
        </is>
      </c>
      <c r="D4" s="10" t="inlineStr">
        <is>
          <t>App</t>
        </is>
      </c>
      <c r="E4" s="10" t="inlineStr">
        <is>
          <t>Device</t>
        </is>
      </c>
      <c r="F4" s="10" t="inlineStr">
        <is>
          <t>Lookup key</t>
        </is>
      </c>
      <c r="G4" s="10" t="inlineStr">
        <is>
          <t>Run 1</t>
        </is>
      </c>
      <c r="H4" s="10" t="inlineStr">
        <is>
          <t>Run 2</t>
        </is>
      </c>
      <c r="I4" s="10" t="inlineStr">
        <is>
          <t>Run 3</t>
        </is>
      </c>
      <c r="J4" s="10" t="inlineStr">
        <is>
          <t>Run 4</t>
        </is>
      </c>
      <c r="K4" s="10" t="inlineStr">
        <is>
          <t>Run 5</t>
        </is>
      </c>
      <c r="L4" s="10" t="inlineStr">
        <is>
          <t>Median</t>
        </is>
      </c>
      <c r="M4" s="10" t="inlineStr">
        <is>
          <t>Min</t>
        </is>
      </c>
      <c r="N4" s="10" t="inlineStr">
        <is>
          <t>Max</t>
        </is>
      </c>
      <c r="O4" s="10" t="inlineStr">
        <is>
          <t>Variation</t>
        </is>
      </c>
      <c r="P4" s="10" t="inlineStr">
        <is>
          <t>Notes</t>
        </is>
      </c>
    </row>
    <row r="5">
      <c r="A5" s="8" t="inlineStr">
        <is>
          <t>R1</t>
        </is>
      </c>
      <c r="B5" s="8" t="inlineStr">
        <is>
          <t>RAM (Total PSS) after cold start</t>
        </is>
      </c>
      <c r="C5" s="8" t="inlineStr">
        <is>
          <t>MB</t>
        </is>
      </c>
      <c r="D5" s="8" t="inlineStr">
        <is>
          <t>RISE</t>
        </is>
      </c>
      <c r="E5" s="8" t="inlineStr">
        <is>
          <t>OPPO CPH3009</t>
        </is>
      </c>
      <c r="F5" s="41">
        <f>A5&amp;"|"&amp;D5&amp;"|"&amp;E5</f>
        <v/>
      </c>
      <c r="G5" s="63" t="n">
        <v>444.6</v>
      </c>
      <c r="H5" s="63" t="n">
        <v>432.9</v>
      </c>
      <c r="I5" s="63" t="n">
        <v>427.8</v>
      </c>
      <c r="J5" s="63" t="n">
        <v>437.6</v>
      </c>
      <c r="K5" s="63" t="n">
        <v>425.7</v>
      </c>
      <c r="L5" s="64">
        <f>IF(COUNT(G5:K5)=0,"",MEDIAN(G5:K5))</f>
        <v/>
      </c>
      <c r="M5" s="65">
        <f>IF(COUNT(G5:K5)=0,"",MIN(G5:K5))</f>
        <v/>
      </c>
      <c r="N5" s="65">
        <f>IF(COUNT(G5:K5)=0,"",MAX(G5:K5))</f>
        <v/>
      </c>
      <c r="O5" s="45">
        <f>IF(COUNT(G5:K5)&lt;2,"",IF(L5=0,"",(N5-M5)/L5))</f>
        <v/>
      </c>
      <c r="P5" s="5" t="inlineStr">
        <is>
          <t>java=106.9;native=84.1;code=113.2;gfx=0.0;webviews=1 | java=115.7;native=73.6;code=115.2;gfx=0.0;webviews=1 | java=118.0;native=55.2;code=117.5;gfx=0.0;webviews=1 | java=121.4;native=105.1;code=115.3;gfx=0.0;webviews=1 | java=99.9;native=106.6;code=1</t>
        </is>
      </c>
    </row>
    <row r="6">
      <c r="A6" s="6" t="inlineStr">
        <is>
          <t>R1</t>
        </is>
      </c>
      <c r="B6" s="6" t="inlineStr">
        <is>
          <t>RAM (Total PSS) after cold start</t>
        </is>
      </c>
      <c r="C6" s="6" t="inlineStr">
        <is>
          <t>MB</t>
        </is>
      </c>
      <c r="D6" s="6" t="inlineStr">
        <is>
          <t>Kite</t>
        </is>
      </c>
      <c r="E6" s="6" t="inlineStr">
        <is>
          <t>OPPO CPH3009</t>
        </is>
      </c>
      <c r="F6" s="41">
        <f>A6&amp;"|"&amp;D6&amp;"|"&amp;E6</f>
        <v/>
      </c>
      <c r="G6" s="63" t="n">
        <v>212.6</v>
      </c>
      <c r="H6" s="63" t="n">
        <v>207.7</v>
      </c>
      <c r="I6" s="63" t="n">
        <v>213.9</v>
      </c>
      <c r="J6" s="63" t="n">
        <v>210.9</v>
      </c>
      <c r="K6" s="63" t="n">
        <v>211.1</v>
      </c>
      <c r="L6" s="64">
        <f>IF(COUNT(G6:K6)=0,"",MEDIAN(G6:K6))</f>
        <v/>
      </c>
      <c r="M6" s="65">
        <f>IF(COUNT(G6:K6)=0,"",MIN(G6:K6))</f>
        <v/>
      </c>
      <c r="N6" s="65">
        <f>IF(COUNT(G6:K6)=0,"",MAX(G6:K6))</f>
        <v/>
      </c>
      <c r="O6" s="45">
        <f>IF(COUNT(G6:K6)&lt;2,"",IF(L6=0,"",(N6-M6)/L6))</f>
        <v/>
      </c>
      <c r="P6" s="5" t="inlineStr">
        <is>
          <t>java=8.9;native=58.6;code=32.7;gfx=0.0;webviews=0 | java=8.9;native=59.0;code=32.1;gfx=0.0;webviews=0 | java=8.9;native=59.2;code=32.1;gfx=0.0;webviews=0 | java=8.9;native=59.4;code=31.5;gfx=0.0;webviews=0 | java=9.4;native=59.0;code=31.2;gfx=0.0;web</t>
        </is>
      </c>
    </row>
    <row r="7">
      <c r="A7" s="6" t="inlineStr">
        <is>
          <t>R1</t>
        </is>
      </c>
      <c r="B7" s="6" t="inlineStr">
        <is>
          <t>RAM (Total PSS) after cold start</t>
        </is>
      </c>
      <c r="C7" s="6" t="inlineStr">
        <is>
          <t>MB</t>
        </is>
      </c>
      <c r="D7" s="6" t="inlineStr">
        <is>
          <t>Groww</t>
        </is>
      </c>
      <c r="E7" s="6" t="inlineStr">
        <is>
          <t>OPPO CPH3009</t>
        </is>
      </c>
      <c r="F7" s="41">
        <f>A7&amp;"|"&amp;D7&amp;"|"&amp;E7</f>
        <v/>
      </c>
      <c r="G7" s="63" t="n">
        <v>239.7</v>
      </c>
      <c r="H7" s="63" t="n">
        <v>247.8</v>
      </c>
      <c r="I7" s="63" t="n">
        <v>248.7</v>
      </c>
      <c r="J7" s="63" t="n">
        <v>247.8</v>
      </c>
      <c r="K7" s="63" t="n">
        <v>244.1</v>
      </c>
      <c r="L7" s="64">
        <f>IF(COUNT(G7:K7)=0,"",MEDIAN(G7:K7))</f>
        <v/>
      </c>
      <c r="M7" s="65">
        <f>IF(COUNT(G7:K7)=0,"",MIN(G7:K7))</f>
        <v/>
      </c>
      <c r="N7" s="65">
        <f>IF(COUNT(G7:K7)=0,"",MAX(G7:K7))</f>
        <v/>
      </c>
      <c r="O7" s="45">
        <f>IF(COUNT(G7:K7)&lt;2,"",IF(L7=0,"",(N7-M7)/L7))</f>
        <v/>
      </c>
      <c r="P7" s="5" t="inlineStr">
        <is>
          <t>java=37.9;native=78.6;code=94.8;gfx=0.0;webviews=0 | java=38.8;native=79.0;code=101.9;gfx=0.0;webviews=0 | java=39.2;native=78.8;code=102.0;gfx=0.0;webviews=0 | java=40.3;native=78.6;code=101.6;gfx=0.0;webviews=0 | java=41.5;native=78.0;code=97.6;gfx</t>
        </is>
      </c>
    </row>
    <row r="8">
      <c r="A8" s="6" t="inlineStr">
        <is>
          <t>R1</t>
        </is>
      </c>
      <c r="B8" s="6" t="inlineStr">
        <is>
          <t>RAM (Total PSS) after cold start</t>
        </is>
      </c>
      <c r="C8" s="6" t="inlineStr">
        <is>
          <t>MB</t>
        </is>
      </c>
      <c r="D8" s="6" t="inlineStr">
        <is>
          <t>Angel One</t>
        </is>
      </c>
      <c r="E8" s="6" t="inlineStr">
        <is>
          <t>OPPO CPH3009</t>
        </is>
      </c>
      <c r="F8" s="41">
        <f>A8&amp;"|"&amp;D8&amp;"|"&amp;E8</f>
        <v/>
      </c>
      <c r="G8" s="63" t="n">
        <v>344.4</v>
      </c>
      <c r="H8" s="63" t="n">
        <v>340.1</v>
      </c>
      <c r="I8" s="63" t="n">
        <v>395.6</v>
      </c>
      <c r="J8" s="63" t="n">
        <v>339.6</v>
      </c>
      <c r="K8" s="63" t="n">
        <v>373.8</v>
      </c>
      <c r="L8" s="64">
        <f>IF(COUNT(G8:K8)=0,"",MEDIAN(G8:K8))</f>
        <v/>
      </c>
      <c r="M8" s="65">
        <f>IF(COUNT(G8:K8)=0,"",MIN(G8:K8))</f>
        <v/>
      </c>
      <c r="N8" s="65">
        <f>IF(COUNT(G8:K8)=0,"",MAX(G8:K8))</f>
        <v/>
      </c>
      <c r="O8" s="45">
        <f>IF(COUNT(G8:K8)&lt;2,"",IF(L8=0,"",(N8-M8)/L8))</f>
        <v/>
      </c>
      <c r="P8" s="5" t="inlineStr">
        <is>
          <t>java=124.2;native=54.6;code=103.3;gfx=0.0;webviews=1 | java=132.3;native=37.6;code=97.7;gfx=0.0;webviews=1 | java=135.8;native=52.2;code=99.7;gfx=0.0;webviews=1 | java=145.8;native=56.8;code=113.0;gfx=0.0;webviews=1 | java=163.0;native=59.6;code=112.</t>
        </is>
      </c>
    </row>
    <row r="9">
      <c r="A9" s="6" t="inlineStr">
        <is>
          <t>R1</t>
        </is>
      </c>
      <c r="B9" s="6" t="inlineStr">
        <is>
          <t>RAM (Total PSS) after cold start</t>
        </is>
      </c>
      <c r="C9" s="6" t="inlineStr">
        <is>
          <t>MB</t>
        </is>
      </c>
      <c r="D9" s="6" t="inlineStr">
        <is>
          <t>INDmoney</t>
        </is>
      </c>
      <c r="E9" s="6" t="inlineStr">
        <is>
          <t>OPPO CPH3009</t>
        </is>
      </c>
      <c r="F9" s="41">
        <f>A9&amp;"|"&amp;D9&amp;"|"&amp;E9</f>
        <v/>
      </c>
      <c r="G9" s="63" t="n">
        <v>240.3</v>
      </c>
      <c r="H9" s="63" t="n">
        <v>265.5</v>
      </c>
      <c r="I9" s="63" t="n">
        <v>264.8</v>
      </c>
      <c r="J9" s="63" t="n">
        <v>266.9</v>
      </c>
      <c r="K9" s="63" t="n">
        <v>280.9</v>
      </c>
      <c r="L9" s="64">
        <f>IF(COUNT(G9:K9)=0,"",MEDIAN(G9:K9))</f>
        <v/>
      </c>
      <c r="M9" s="65">
        <f>IF(COUNT(G9:K9)=0,"",MIN(G9:K9))</f>
        <v/>
      </c>
      <c r="N9" s="65">
        <f>IF(COUNT(G9:K9)=0,"",MAX(G9:K9))</f>
        <v/>
      </c>
      <c r="O9" s="45">
        <f>IF(COUNT(G9:K9)&lt;2,"",IF(L9=0,"",(N9-M9)/L9))</f>
        <v/>
      </c>
      <c r="P9" s="5" t="inlineStr">
        <is>
          <t>java=56.8;native=51.7;code=81.1;gfx=0.0;webviews=0 | java=79.2;native=65.1;code=86.7;gfx=0.0;webviews=0 | java=80.4;native=63.8;code=87.0;gfx=0.0;webviews=0 | java=81.4;native=63.6;code=86.7;gfx=0.0;webviews=0 | java=94.9;native=64.0;code=86.5;gfx=0.</t>
        </is>
      </c>
    </row>
    <row r="10">
      <c r="A10" s="6" t="inlineStr">
        <is>
          <t>R1</t>
        </is>
      </c>
      <c r="B10" s="6" t="inlineStr">
        <is>
          <t>RAM (Total PSS) after cold start</t>
        </is>
      </c>
      <c r="C10" s="6" t="inlineStr">
        <is>
          <t>MB</t>
        </is>
      </c>
      <c r="D10" s="6" t="inlineStr">
        <is>
          <t>Kotak Neo</t>
        </is>
      </c>
      <c r="E10" s="6" t="inlineStr">
        <is>
          <t>OPPO CPH3009</t>
        </is>
      </c>
      <c r="F10" s="41">
        <f>A10&amp;"|"&amp;D10&amp;"|"&amp;E10</f>
        <v/>
      </c>
      <c r="G10" s="63" t="n">
        <v>260.3</v>
      </c>
      <c r="H10" s="63" t="n">
        <v>254.8</v>
      </c>
      <c r="I10" s="63" t="n">
        <v>256.1</v>
      </c>
      <c r="J10" s="63" t="n">
        <v>251.4</v>
      </c>
      <c r="K10" s="63" t="n">
        <v>252.9</v>
      </c>
      <c r="L10" s="64">
        <f>IF(COUNT(G10:K10)=0,"",MEDIAN(G10:K10))</f>
        <v/>
      </c>
      <c r="M10" s="65">
        <f>IF(COUNT(G10:K10)=0,"",MIN(G10:K10))</f>
        <v/>
      </c>
      <c r="N10" s="65">
        <f>IF(COUNT(G10:K10)=0,"",MAX(G10:K10))</f>
        <v/>
      </c>
      <c r="O10" s="45">
        <f>IF(COUNT(G10:K10)&lt;2,"",IF(L10=0,"",(N10-M10)/L10))</f>
        <v/>
      </c>
      <c r="P10" s="5" t="inlineStr">
        <is>
          <t>java=12.5;native=60.2;code=103.6;gfx=0.0;webviews=0 | java=13.3;native=62.6;code=102.9;gfx=0.0;webviews=0 | java=13.7;native=62.1;code=106.0;gfx=0.0;webviews=0 | java=14.1;native=62.9;code=106.1;gfx=0.0;webviews=0 | java=14.7;native=64.3;code=105.0;g</t>
        </is>
      </c>
    </row>
    <row r="11">
      <c r="A11" s="6" t="inlineStr">
        <is>
          <t>R1</t>
        </is>
      </c>
      <c r="B11" s="6" t="inlineStr">
        <is>
          <t>RAM (Total PSS) after cold start</t>
        </is>
      </c>
      <c r="C11" s="6" t="inlineStr">
        <is>
          <t>MB</t>
        </is>
      </c>
      <c r="D11" s="6" t="inlineStr">
        <is>
          <t>SAHI</t>
        </is>
      </c>
      <c r="E11" s="6" t="inlineStr">
        <is>
          <t>OPPO CPH3009</t>
        </is>
      </c>
      <c r="F11" s="41">
        <f>A11&amp;"|"&amp;D11&amp;"|"&amp;E11</f>
        <v/>
      </c>
      <c r="G11" s="63" t="n">
        <v>356</v>
      </c>
      <c r="H11" s="63" t="n">
        <v>308.4</v>
      </c>
      <c r="I11" s="63" t="n">
        <v>359.5</v>
      </c>
      <c r="J11" s="63" t="n">
        <v>303.3</v>
      </c>
      <c r="K11" s="63" t="n">
        <v>303.1</v>
      </c>
      <c r="L11" s="64">
        <f>IF(COUNT(G11:K11)=0,"",MEDIAN(G11:K11))</f>
        <v/>
      </c>
      <c r="M11" s="65">
        <f>IF(COUNT(G11:K11)=0,"",MIN(G11:K11))</f>
        <v/>
      </c>
      <c r="N11" s="65">
        <f>IF(COUNT(G11:K11)=0,"",MAX(G11:K11))</f>
        <v/>
      </c>
      <c r="O11" s="45">
        <f>IF(COUNT(G11:K11)&lt;2,"",IF(L11=0,"",(N11-M11)/L11))</f>
        <v/>
      </c>
      <c r="P11" s="5" t="inlineStr">
        <is>
          <t>java=39.3;native=88.8;code=106.8;gfx=0.0;webviews=0 | java=39.4;native=86.8;code=107.3;gfx=0.0;webviews=0 | java=7.6;native=85.7;code=91.8;gfx=0.0;webviews=0 | java=7.6;native=85.9;code=91.6;gfx=0.0;webviews=0 | java=7.6;native=86.8;code=92.2;gfx=0.0</t>
        </is>
      </c>
    </row>
    <row r="12">
      <c r="A12" s="8" t="inlineStr">
        <is>
          <t>R2</t>
        </is>
      </c>
      <c r="B12" s="8" t="inlineStr">
        <is>
          <t>RAM (Total PSS) on Watchlist tab &gt; Bench 20</t>
        </is>
      </c>
      <c r="C12" s="8" t="inlineStr">
        <is>
          <t>MB</t>
        </is>
      </c>
      <c r="D12" s="8" t="inlineStr">
        <is>
          <t>RISE</t>
        </is>
      </c>
      <c r="E12" s="8" t="inlineStr">
        <is>
          <t>OPPO CPH3009</t>
        </is>
      </c>
      <c r="F12" s="41">
        <f>A12&amp;"|"&amp;D12&amp;"|"&amp;E12</f>
        <v/>
      </c>
      <c r="G12" s="63" t="n">
        <v>340.9</v>
      </c>
      <c r="H12" s="63" t="n">
        <v>433.3</v>
      </c>
      <c r="I12" s="63" t="n">
        <v>443.1</v>
      </c>
      <c r="J12" s="63" t="n">
        <v>354.5</v>
      </c>
      <c r="K12" s="63" t="n">
        <v>361.2</v>
      </c>
      <c r="L12" s="64">
        <f>IF(COUNT(G12:K12)=0,"",MEDIAN(G12:K12))</f>
        <v/>
      </c>
      <c r="M12" s="65">
        <f>IF(COUNT(G12:K12)=0,"",MIN(G12:K12))</f>
        <v/>
      </c>
      <c r="N12" s="65">
        <f>IF(COUNT(G12:K12)=0,"",MAX(G12:K12))</f>
        <v/>
      </c>
      <c r="O12" s="45">
        <f>IF(COUNT(G12:K12)&lt;2,"",IF(L12=0,"",(N12-M12)/L12))</f>
        <v/>
      </c>
      <c r="P12" s="5" t="inlineStr">
        <is>
          <t>java=102.1;native=73.8;code=122.1;gfx=0.0;webviews=1 | java=24.7;native=62.7;code=102.9;gfx=0.0;webviews=1 | java=24.8;native=78.8;code=116.3;gfx=0.0;webviews=1 | java=27.8;native=78.8;code=115.4;gfx=0.0;webviews=1 | java=94.1;native=64.9;code=116.9;</t>
        </is>
      </c>
    </row>
    <row r="13">
      <c r="A13" s="46" t="inlineStr">
        <is>
          <t>R2</t>
        </is>
      </c>
      <c r="B13" s="46" t="inlineStr">
        <is>
          <t>RAM (Total PSS) on Watchlist tab &gt; Bench 20</t>
        </is>
      </c>
      <c r="C13" s="46" t="inlineStr">
        <is>
          <t>MB</t>
        </is>
      </c>
      <c r="D13" s="46" t="inlineStr">
        <is>
          <t>Kite</t>
        </is>
      </c>
      <c r="E13" s="46" t="inlineStr">
        <is>
          <t>OPPO CPH3009</t>
        </is>
      </c>
      <c r="F13" s="41">
        <f>A13&amp;"|"&amp;D13&amp;"|"&amp;E13</f>
        <v/>
      </c>
      <c r="G13" s="63" t="n">
        <v>210.1</v>
      </c>
      <c r="H13" s="63" t="n">
        <v>218.1</v>
      </c>
      <c r="I13" s="63" t="n">
        <v>218.3</v>
      </c>
      <c r="J13" s="63" t="n">
        <v>222.4</v>
      </c>
      <c r="K13" s="63" t="n">
        <v>213.2</v>
      </c>
      <c r="L13" s="64">
        <f>IF(COUNT(G13:K13)=0,"",MEDIAN(G13:K13))</f>
        <v/>
      </c>
      <c r="M13" s="65">
        <f>IF(COUNT(G13:K13)=0,"",MIN(G13:K13))</f>
        <v/>
      </c>
      <c r="N13" s="65">
        <f>IF(COUNT(G13:K13)=0,"",MAX(G13:K13))</f>
        <v/>
      </c>
      <c r="O13" s="45">
        <f>IF(COUNT(G13:K13)&lt;2,"",IF(L13=0,"",(N13-M13)/L13))</f>
        <v/>
      </c>
      <c r="P13" s="5" t="inlineStr">
        <is>
          <t>java=3.8;native=57.8;code=37.3;gfx=0.0;webviews=0 | java=8.9;native=59.4;code=38.9;gfx=0.0;webviews=0 | java=8.9;native=59.7;code=34.0;gfx=0.0;webviews=0 | java=8.9;native=60.5;code=34.8;gfx=0.0;webviews=0 | java=8.9;native=61.3;code=30.6;gfx=0.0;web</t>
        </is>
      </c>
    </row>
    <row r="14">
      <c r="A14" s="46" t="inlineStr">
        <is>
          <t>R2</t>
        </is>
      </c>
      <c r="B14" s="46" t="inlineStr">
        <is>
          <t>RAM (Total PSS) on Watchlist tab &gt; Bench 20</t>
        </is>
      </c>
      <c r="C14" s="46" t="inlineStr">
        <is>
          <t>MB</t>
        </is>
      </c>
      <c r="D14" s="46" t="inlineStr">
        <is>
          <t>Groww</t>
        </is>
      </c>
      <c r="E14" s="46" t="inlineStr">
        <is>
          <t>OPPO CPH3009</t>
        </is>
      </c>
      <c r="F14" s="41">
        <f>A14&amp;"|"&amp;D14&amp;"|"&amp;E14</f>
        <v/>
      </c>
      <c r="G14" s="63" t="n">
        <v>288</v>
      </c>
      <c r="H14" s="63" t="n">
        <v>285.3</v>
      </c>
      <c r="I14" s="63" t="n">
        <v>277.1</v>
      </c>
      <c r="J14" s="63" t="n">
        <v>271.5</v>
      </c>
      <c r="K14" s="63" t="n">
        <v>264.1</v>
      </c>
      <c r="L14" s="64">
        <f>IF(COUNT(G14:K14)=0,"",MEDIAN(G14:K14))</f>
        <v/>
      </c>
      <c r="M14" s="65">
        <f>IF(COUNT(G14:K14)=0,"",MIN(G14:K14))</f>
        <v/>
      </c>
      <c r="N14" s="65">
        <f>IF(COUNT(G14:K14)=0,"",MAX(G14:K14))</f>
        <v/>
      </c>
      <c r="O14" s="45">
        <f>IF(COUNT(G14:K14)&lt;2,"",IF(L14=0,"",(N14-M14)/L14))</f>
        <v/>
      </c>
      <c r="P14" s="5" t="inlineStr">
        <is>
          <t>java=28.2;native=113.6;code=92.1;gfx=0.0;webviews=0 | java=33.2;native=115.7;code=96.6;gfx=0.0;webviews=0 | java=37.0;native=109.8;code=89.5;gfx=0.0;webviews=0 | java=42.4;native=103.6;code=94.1;gfx=0.0;webviews=0 | java=43.3;native=120.5;code=89.9;g</t>
        </is>
      </c>
    </row>
    <row r="15">
      <c r="A15" s="46" t="inlineStr">
        <is>
          <t>R2</t>
        </is>
      </c>
      <c r="B15" s="46" t="inlineStr">
        <is>
          <t>RAM (Total PSS) on Watchlist tab &gt; Bench 20</t>
        </is>
      </c>
      <c r="C15" s="46" t="inlineStr">
        <is>
          <t>MB</t>
        </is>
      </c>
      <c r="D15" s="46" t="inlineStr">
        <is>
          <t>Angel One</t>
        </is>
      </c>
      <c r="E15" s="46" t="inlineStr">
        <is>
          <t>OPPO CPH3009</t>
        </is>
      </c>
      <c r="F15" s="41">
        <f>A15&amp;"|"&amp;D15&amp;"|"&amp;E15</f>
        <v/>
      </c>
      <c r="G15" s="63" t="n">
        <v>265.1</v>
      </c>
      <c r="H15" s="63" t="n">
        <v>238.2</v>
      </c>
      <c r="I15" s="63" t="n">
        <v>258.6</v>
      </c>
      <c r="J15" s="63" t="n">
        <v>245.6</v>
      </c>
      <c r="K15" s="63" t="n">
        <v>286.7</v>
      </c>
      <c r="L15" s="64">
        <f>IF(COUNT(G15:K15)=0,"",MEDIAN(G15:K15))</f>
        <v/>
      </c>
      <c r="M15" s="65">
        <f>IF(COUNT(G15:K15)=0,"",MIN(G15:K15))</f>
        <v/>
      </c>
      <c r="N15" s="65">
        <f>IF(COUNT(G15:K15)=0,"",MAX(G15:K15))</f>
        <v/>
      </c>
      <c r="O15" s="45">
        <f>IF(COUNT(G15:K15)&lt;2,"",IF(L15=0,"",(N15-M15)/L15))</f>
        <v/>
      </c>
      <c r="P15" s="5" t="inlineStr">
        <is>
          <t>java=36.1;native=43.5;code=91.0;gfx=0.0;webviews=1 | java=37.6;native=20.8;code=101.4;gfx=0.0;webviews=1 | java=42.8;native=41.1;code=99.5;gfx=0.0;webviews=1 | java=44.6;native=43.7;code=125.0;gfx=0.0;webviews=1 | java=48.8;native=25.8;code=94.4;gfx=</t>
        </is>
      </c>
    </row>
    <row r="16">
      <c r="A16" s="46" t="inlineStr">
        <is>
          <t>R2</t>
        </is>
      </c>
      <c r="B16" s="46" t="inlineStr">
        <is>
          <t>RAM (Total PSS) on Watchlist tab &gt; Bench 20</t>
        </is>
      </c>
      <c r="C16" s="46" t="inlineStr">
        <is>
          <t>MB</t>
        </is>
      </c>
      <c r="D16" s="46" t="inlineStr">
        <is>
          <t>INDmoney</t>
        </is>
      </c>
      <c r="E16" s="46" t="inlineStr">
        <is>
          <t>OPPO CPH3009</t>
        </is>
      </c>
      <c r="F16" s="41">
        <f>A16&amp;"|"&amp;D16&amp;"|"&amp;E16</f>
        <v/>
      </c>
      <c r="G16" s="63" t="n">
        <v>355.2</v>
      </c>
      <c r="H16" s="63" t="n">
        <v>354</v>
      </c>
      <c r="I16" s="63" t="n">
        <v>331.1</v>
      </c>
      <c r="J16" s="63" t="n">
        <v>325.2</v>
      </c>
      <c r="K16" s="63" t="n">
        <v>348.4</v>
      </c>
      <c r="L16" s="64">
        <f>IF(COUNT(G16:K16)=0,"",MEDIAN(G16:K16))</f>
        <v/>
      </c>
      <c r="M16" s="65">
        <f>IF(COUNT(G16:K16)=0,"",MIN(G16:K16))</f>
        <v/>
      </c>
      <c r="N16" s="65">
        <f>IF(COUNT(G16:K16)=0,"",MAX(G16:K16))</f>
        <v/>
      </c>
      <c r="O16" s="45">
        <f>IF(COUNT(G16:K16)&lt;2,"",IF(L16=0,"",(N16-M16)/L16))</f>
        <v/>
      </c>
      <c r="P16" s="5" t="inlineStr">
        <is>
          <t>java=104.7;native=60.4;code=85.2;gfx=0.0;webviews=1 | java=79.4;native=88.5;code=97.1;gfx=0.0;webviews=1 | java=80.1;native=80.7;code=81.8;gfx=0.0;webviews=1 | java=85.2;native=79.5;code=81.1;gfx=0.0;webviews=1 | java=96.4;native=70.7;code=91.8;gfx=0</t>
        </is>
      </c>
    </row>
    <row r="17">
      <c r="A17" s="46" t="inlineStr">
        <is>
          <t>R2</t>
        </is>
      </c>
      <c r="B17" s="46" t="inlineStr">
        <is>
          <t>RAM (Total PSS) on Watchlist tab &gt; Bench 20</t>
        </is>
      </c>
      <c r="C17" s="46" t="inlineStr">
        <is>
          <t>MB</t>
        </is>
      </c>
      <c r="D17" s="46" t="inlineStr">
        <is>
          <t>Kotak Neo</t>
        </is>
      </c>
      <c r="E17" s="46" t="inlineStr">
        <is>
          <t>OPPO CPH3009</t>
        </is>
      </c>
      <c r="F17" s="41">
        <f>A17&amp;"|"&amp;D17&amp;"|"&amp;E17</f>
        <v/>
      </c>
      <c r="G17" s="63" t="n">
        <v>259.5</v>
      </c>
      <c r="H17" s="63" t="n">
        <v>244.8</v>
      </c>
      <c r="I17" s="63" t="n">
        <v>248</v>
      </c>
      <c r="J17" s="63" t="n">
        <v>246.7</v>
      </c>
      <c r="K17" s="63" t="n">
        <v>239.4</v>
      </c>
      <c r="L17" s="64">
        <f>IF(COUNT(G17:K17)=0,"",MEDIAN(G17:K17))</f>
        <v/>
      </c>
      <c r="M17" s="65">
        <f>IF(COUNT(G17:K17)=0,"",MIN(G17:K17))</f>
        <v/>
      </c>
      <c r="N17" s="65">
        <f>IF(COUNT(G17:K17)=0,"",MAX(G17:K17))</f>
        <v/>
      </c>
      <c r="O17" s="45">
        <f>IF(COUNT(G17:K17)&lt;2,"",IF(L17=0,"",(N17-M17)/L17))</f>
        <v/>
      </c>
      <c r="P17" s="5" t="inlineStr">
        <is>
          <t>java=13.3;native=59.9;code=93.8;gfx=0.0;webviews=0 | java=14.0;native=64.5;code=92.5;gfx=0.0;webviews=0 | java=14.5;native=62.8;code=91.8;gfx=0.0;webviews=0 | java=17.4;native=63.0;code=92.9;gfx=0.0;webviews=0 | java=20.4;native=63.3;code=97.6;gfx=0.</t>
        </is>
      </c>
    </row>
    <row r="18">
      <c r="A18" s="46" t="inlineStr">
        <is>
          <t>R2</t>
        </is>
      </c>
      <c r="B18" s="46" t="inlineStr">
        <is>
          <t>RAM (Total PSS) on Watchlist tab &gt; Bench 20</t>
        </is>
      </c>
      <c r="C18" s="46" t="inlineStr">
        <is>
          <t>MB</t>
        </is>
      </c>
      <c r="D18" s="46" t="inlineStr">
        <is>
          <t>SAHI</t>
        </is>
      </c>
      <c r="E18" s="46" t="inlineStr">
        <is>
          <t>OPPO CPH3009</t>
        </is>
      </c>
      <c r="F18" s="41">
        <f>A18&amp;"|"&amp;D18&amp;"|"&amp;E18</f>
        <v/>
      </c>
      <c r="G18" s="63" t="n">
        <v>306.8</v>
      </c>
      <c r="H18" s="63" t="n">
        <v>300.5</v>
      </c>
      <c r="I18" s="63" t="n">
        <v>344.6</v>
      </c>
      <c r="J18" s="63" t="n">
        <v>299</v>
      </c>
      <c r="K18" s="63" t="n">
        <v>298.1</v>
      </c>
      <c r="L18" s="64">
        <f>IF(COUNT(G18:K18)=0,"",MEDIAN(G18:K18))</f>
        <v/>
      </c>
      <c r="M18" s="65">
        <f>IF(COUNT(G18:K18)=0,"",MIN(G18:K18))</f>
        <v/>
      </c>
      <c r="N18" s="65">
        <f>IF(COUNT(G18:K18)=0,"",MAX(G18:K18))</f>
        <v/>
      </c>
      <c r="O18" s="45">
        <f>IF(COUNT(G18:K18)&lt;2,"",IF(L18=0,"",(N18-M18)/L18))</f>
        <v/>
      </c>
      <c r="P18" s="5" t="inlineStr">
        <is>
          <t>java=39.7;native=95.1;code=90.4;gfx=0.0;webviews=0 | java=7.7;native=92.4;code=80.9;gfx=0.0;webviews=0 | java=7.7;native=93.2;code=81.7;gfx=0.0;webviews=0 | java=7.7;native=95.3;code=81.3;gfx=0.0;webviews=0 | java=7.8;native=93.6;code=82.0;gfx=0.0;we</t>
        </is>
      </c>
    </row>
    <row r="19">
      <c r="A19" s="8" t="inlineStr">
        <is>
          <t>R3</t>
        </is>
      </c>
      <c r="B19" s="8" t="inlineStr">
        <is>
          <t>RAM (Total PSS) after 5 min on Watchlist tab &gt; Bench 20</t>
        </is>
      </c>
      <c r="C19" s="8" t="inlineStr">
        <is>
          <t>MB</t>
        </is>
      </c>
      <c r="D19" s="8" t="inlineStr">
        <is>
          <t>RISE</t>
        </is>
      </c>
      <c r="E19" s="8" t="inlineStr">
        <is>
          <t>OPPO CPH3009</t>
        </is>
      </c>
      <c r="F19" s="41">
        <f>A19&amp;"|"&amp;D19&amp;"|"&amp;E19</f>
        <v/>
      </c>
      <c r="G19" s="63" t="n">
        <v>380.5</v>
      </c>
      <c r="H19" s="63" t="n"/>
      <c r="I19" s="63" t="n"/>
      <c r="J19" s="63" t="n"/>
      <c r="K19" s="63" t="n"/>
      <c r="L19" s="64">
        <f>IF(COUNT(G19:K19)=0,"",MEDIAN(G19:K19))</f>
        <v/>
      </c>
      <c r="M19" s="65">
        <f>IF(COUNT(G19:K19)=0,"",MIN(G19:K19))</f>
        <v/>
      </c>
      <c r="N19" s="65">
        <f>IF(COUNT(G19:K19)=0,"",MAX(G19:K19))</f>
        <v/>
      </c>
      <c r="O19" s="45">
        <f>IF(COUNT(G19:K19)&lt;2,"",IF(L19=0,"",(N19-M19)/L19))</f>
        <v/>
      </c>
      <c r="P19" s="5" t="inlineStr">
        <is>
          <t>java=44.6;native=30.8;code=63.2;gfx=0.0;webviews=1</t>
        </is>
      </c>
    </row>
    <row r="20">
      <c r="A20" s="6" t="inlineStr">
        <is>
          <t>R3</t>
        </is>
      </c>
      <c r="B20" s="6" t="inlineStr">
        <is>
          <t>RAM (Total PSS) after 5 min on Watchlist tab &gt; Bench 20</t>
        </is>
      </c>
      <c r="C20" s="6" t="inlineStr">
        <is>
          <t>MB</t>
        </is>
      </c>
      <c r="D20" s="6" t="inlineStr">
        <is>
          <t>Kite</t>
        </is>
      </c>
      <c r="E20" s="6" t="inlineStr">
        <is>
          <t>OPPO CPH3009</t>
        </is>
      </c>
      <c r="F20" s="41">
        <f>A20&amp;"|"&amp;D20&amp;"|"&amp;E20</f>
        <v/>
      </c>
      <c r="G20" s="63" t="n">
        <v>206.3</v>
      </c>
      <c r="H20" s="63" t="n"/>
      <c r="I20" s="63" t="n"/>
      <c r="J20" s="63" t="n"/>
      <c r="K20" s="63" t="n"/>
      <c r="L20" s="64">
        <f>IF(COUNT(G20:K20)=0,"",MEDIAN(G20:K20))</f>
        <v/>
      </c>
      <c r="M20" s="65">
        <f>IF(COUNT(G20:K20)=0,"",MIN(G20:K20))</f>
        <v/>
      </c>
      <c r="N20" s="65">
        <f>IF(COUNT(G20:K20)=0,"",MAX(G20:K20))</f>
        <v/>
      </c>
      <c r="O20" s="45">
        <f>IF(COUNT(G20:K20)&lt;2,"",IF(L20=0,"",(N20-M20)/L20))</f>
        <v/>
      </c>
      <c r="P20" s="5" t="inlineStr">
        <is>
          <t>java=6.4;native=22.1;code=33.8;gfx=0.0;webviews=0</t>
        </is>
      </c>
    </row>
    <row r="21">
      <c r="A21" s="6" t="inlineStr">
        <is>
          <t>R3</t>
        </is>
      </c>
      <c r="B21" s="6" t="inlineStr">
        <is>
          <t>RAM (Total PSS) after 5 min on Watchlist tab &gt; Bench 20</t>
        </is>
      </c>
      <c r="C21" s="6" t="inlineStr">
        <is>
          <t>MB</t>
        </is>
      </c>
      <c r="D21" s="6" t="inlineStr">
        <is>
          <t>Groww</t>
        </is>
      </c>
      <c r="E21" s="6" t="inlineStr">
        <is>
          <t>OPPO CPH3009</t>
        </is>
      </c>
      <c r="F21" s="41">
        <f>A21&amp;"|"&amp;D21&amp;"|"&amp;E21</f>
        <v/>
      </c>
      <c r="G21" s="63" t="n">
        <v>260.9</v>
      </c>
      <c r="H21" s="63" t="n"/>
      <c r="I21" s="63" t="n"/>
      <c r="J21" s="63" t="n"/>
      <c r="K21" s="63" t="n"/>
      <c r="L21" s="64">
        <f>IF(COUNT(G21:K21)=0,"",MEDIAN(G21:K21))</f>
        <v/>
      </c>
      <c r="M21" s="65">
        <f>IF(COUNT(G21:K21)=0,"",MIN(G21:K21))</f>
        <v/>
      </c>
      <c r="N21" s="65">
        <f>IF(COUNT(G21:K21)=0,"",MAX(G21:K21))</f>
        <v/>
      </c>
      <c r="O21" s="45">
        <f>IF(COUNT(G21:K21)&lt;2,"",IF(L21=0,"",(N21-M21)/L21))</f>
        <v/>
      </c>
      <c r="P21" s="5" t="inlineStr">
        <is>
          <t>java=31.6;native=74.9;code=94.4;gfx=0.0;webviews=0</t>
        </is>
      </c>
    </row>
    <row r="22">
      <c r="A22" s="6" t="inlineStr">
        <is>
          <t>R3</t>
        </is>
      </c>
      <c r="B22" s="6" t="inlineStr">
        <is>
          <t>RAM (Total PSS) after 5 min on Watchlist tab &gt; Bench 20</t>
        </is>
      </c>
      <c r="C22" s="6" t="inlineStr">
        <is>
          <t>MB</t>
        </is>
      </c>
      <c r="D22" s="6" t="inlineStr">
        <is>
          <t>Angel One</t>
        </is>
      </c>
      <c r="E22" s="6" t="inlineStr">
        <is>
          <t>OPPO CPH3009</t>
        </is>
      </c>
      <c r="F22" s="41">
        <f>A22&amp;"|"&amp;D22&amp;"|"&amp;E22</f>
        <v/>
      </c>
      <c r="G22" s="63" t="n">
        <v>244.1</v>
      </c>
      <c r="H22" s="63" t="n"/>
      <c r="I22" s="63" t="n"/>
      <c r="J22" s="63" t="n"/>
      <c r="K22" s="63" t="n"/>
      <c r="L22" s="64">
        <f>IF(COUNT(G22:K22)=0,"",MEDIAN(G22:K22))</f>
        <v/>
      </c>
      <c r="M22" s="65">
        <f>IF(COUNT(G22:K22)=0,"",MIN(G22:K22))</f>
        <v/>
      </c>
      <c r="N22" s="65">
        <f>IF(COUNT(G22:K22)=0,"",MAX(G22:K22))</f>
        <v/>
      </c>
      <c r="O22" s="45">
        <f>IF(COUNT(G22:K22)&lt;2,"",IF(L22=0,"",(N22-M22)/L22))</f>
        <v/>
      </c>
      <c r="P22" s="5" t="inlineStr">
        <is>
          <t>java=37.2;native=27.3;code=98.6;gfx=0.0;webviews=1</t>
        </is>
      </c>
    </row>
    <row r="23">
      <c r="A23" s="6" t="inlineStr">
        <is>
          <t>R3</t>
        </is>
      </c>
      <c r="B23" s="6" t="inlineStr">
        <is>
          <t>RAM (Total PSS) after 5 min on Watchlist tab &gt; Bench 20</t>
        </is>
      </c>
      <c r="C23" s="6" t="inlineStr">
        <is>
          <t>MB</t>
        </is>
      </c>
      <c r="D23" s="6" t="inlineStr">
        <is>
          <t>INDmoney</t>
        </is>
      </c>
      <c r="E23" s="6" t="inlineStr">
        <is>
          <t>OPPO CPH3009</t>
        </is>
      </c>
      <c r="F23" s="41">
        <f>A23&amp;"|"&amp;D23&amp;"|"&amp;E23</f>
        <v/>
      </c>
      <c r="G23" s="63" t="n">
        <v>324.3</v>
      </c>
      <c r="H23" s="63" t="n"/>
      <c r="I23" s="63" t="n"/>
      <c r="J23" s="63" t="n"/>
      <c r="K23" s="63" t="n"/>
      <c r="L23" s="64">
        <f>IF(COUNT(G23:K23)=0,"",MEDIAN(G23:K23))</f>
        <v/>
      </c>
      <c r="M23" s="65">
        <f>IF(COUNT(G23:K23)=0,"",MIN(G23:K23))</f>
        <v/>
      </c>
      <c r="N23" s="65">
        <f>IF(COUNT(G23:K23)=0,"",MAX(G23:K23))</f>
        <v/>
      </c>
      <c r="O23" s="45">
        <f>IF(COUNT(G23:K23)&lt;2,"",IF(L23=0,"",(N23-M23)/L23))</f>
        <v/>
      </c>
      <c r="P23" s="5" t="inlineStr">
        <is>
          <t>java=76.6;native=31.9;code=82.6;gfx=0.0;webviews=1</t>
        </is>
      </c>
    </row>
    <row r="24">
      <c r="A24" s="6" t="inlineStr">
        <is>
          <t>R3</t>
        </is>
      </c>
      <c r="B24" s="6" t="inlineStr">
        <is>
          <t>RAM (Total PSS) after 5 min on Watchlist tab &gt; Bench 20</t>
        </is>
      </c>
      <c r="C24" s="6" t="inlineStr">
        <is>
          <t>MB</t>
        </is>
      </c>
      <c r="D24" s="6" t="inlineStr">
        <is>
          <t>Kotak Neo</t>
        </is>
      </c>
      <c r="E24" s="6" t="inlineStr">
        <is>
          <t>OPPO CPH3009</t>
        </is>
      </c>
      <c r="F24" s="41">
        <f>A24&amp;"|"&amp;D24&amp;"|"&amp;E24</f>
        <v/>
      </c>
      <c r="G24" s="63" t="n">
        <v>245.1</v>
      </c>
      <c r="H24" s="63" t="n"/>
      <c r="I24" s="63" t="n"/>
      <c r="J24" s="63" t="n"/>
      <c r="K24" s="63" t="n"/>
      <c r="L24" s="64">
        <f>IF(COUNT(G24:K24)=0,"",MEDIAN(G24:K24))</f>
        <v/>
      </c>
      <c r="M24" s="65">
        <f>IF(COUNT(G24:K24)=0,"",MIN(G24:K24))</f>
        <v/>
      </c>
      <c r="N24" s="65">
        <f>IF(COUNT(G24:K24)=0,"",MAX(G24:K24))</f>
        <v/>
      </c>
      <c r="O24" s="45">
        <f>IF(COUNT(G24:K24)&lt;2,"",IF(L24=0,"",(N24-M24)/L24))</f>
        <v/>
      </c>
      <c r="P24" s="5" t="inlineStr">
        <is>
          <t>java=13.5;native=33.5;code=81.2;gfx=0.0;webviews=0</t>
        </is>
      </c>
    </row>
    <row r="25">
      <c r="A25" s="6" t="inlineStr">
        <is>
          <t>R3</t>
        </is>
      </c>
      <c r="B25" s="6" t="inlineStr">
        <is>
          <t>RAM (Total PSS) after 5 min on Watchlist tab &gt; Bench 20</t>
        </is>
      </c>
      <c r="C25" s="6" t="inlineStr">
        <is>
          <t>MB</t>
        </is>
      </c>
      <c r="D25" s="6" t="inlineStr">
        <is>
          <t>SAHI</t>
        </is>
      </c>
      <c r="E25" s="6" t="inlineStr">
        <is>
          <t>OPPO CPH3009</t>
        </is>
      </c>
      <c r="F25" s="41">
        <f>A25&amp;"|"&amp;D25&amp;"|"&amp;E25</f>
        <v/>
      </c>
      <c r="G25" s="63" t="n">
        <v>280.5</v>
      </c>
      <c r="H25" s="63" t="n"/>
      <c r="I25" s="63" t="n"/>
      <c r="J25" s="63" t="n"/>
      <c r="K25" s="63" t="n"/>
      <c r="L25" s="64">
        <f>IF(COUNT(G25:K25)=0,"",MEDIAN(G25:K25))</f>
        <v/>
      </c>
      <c r="M25" s="65">
        <f>IF(COUNT(G25:K25)=0,"",MIN(G25:K25))</f>
        <v/>
      </c>
      <c r="N25" s="65">
        <f>IF(COUNT(G25:K25)=0,"",MAX(G25:K25))</f>
        <v/>
      </c>
      <c r="O25" s="45">
        <f>IF(COUNT(G25:K25)&lt;2,"",IF(L25=0,"",(N25-M25)/L25))</f>
        <v/>
      </c>
      <c r="P25" s="5" t="inlineStr">
        <is>
          <t>java=7.9;native=26.4;code=58.2;gfx=0.0;webviews=0</t>
        </is>
      </c>
    </row>
    <row r="26">
      <c r="A26" s="8" t="inlineStr">
        <is>
          <t>R4</t>
        </is>
      </c>
      <c r="B26" s="8" t="inlineStr">
        <is>
          <t>App size (installed)</t>
        </is>
      </c>
      <c r="C26" s="8" t="inlineStr">
        <is>
          <t>MB</t>
        </is>
      </c>
      <c r="D26" s="8" t="inlineStr">
        <is>
          <t>RISE</t>
        </is>
      </c>
      <c r="E26" s="8" t="inlineStr">
        <is>
          <t>OPPO CPH3009</t>
        </is>
      </c>
      <c r="F26" s="41">
        <f>A26&amp;"|"&amp;D26&amp;"|"&amp;E26</f>
        <v/>
      </c>
      <c r="G26" s="63" t="n">
        <v>207</v>
      </c>
      <c r="H26" s="63" t="n"/>
      <c r="I26" s="63" t="n"/>
      <c r="J26" s="63" t="n"/>
      <c r="K26" s="63" t="n"/>
      <c r="L26" s="64">
        <f>IF(COUNT(G26:K26)=0,"",MEDIAN(G26:K26))</f>
        <v/>
      </c>
      <c r="M26" s="65">
        <f>IF(COUNT(G26:K26)=0,"",MIN(G26:K26))</f>
        <v/>
      </c>
      <c r="N26" s="65">
        <f>IF(COUNT(G26:K26)=0,"",MAX(G26:K26))</f>
        <v/>
      </c>
      <c r="O26" s="45">
        <f>IF(COUNT(G26:K26)&lt;2,"",IF(L26=0,"",(N26-M26)/L26))</f>
        <v/>
      </c>
      <c r="P26" s="5" t="inlineStr">
        <is>
          <t>Settings &gt; Apps &gt; &lt;app&gt; &gt; Storage usage, read via uiautomator dump on 2026-10-22; app identity confirmed by version stri</t>
        </is>
      </c>
    </row>
    <row r="27">
      <c r="A27" s="46" t="inlineStr">
        <is>
          <t>R4</t>
        </is>
      </c>
      <c r="B27" s="46" t="inlineStr">
        <is>
          <t>App size (installed)</t>
        </is>
      </c>
      <c r="C27" s="46" t="inlineStr">
        <is>
          <t>MB</t>
        </is>
      </c>
      <c r="D27" s="46" t="inlineStr">
        <is>
          <t>Kite</t>
        </is>
      </c>
      <c r="E27" s="46" t="inlineStr">
        <is>
          <t>OPPO CPH3009</t>
        </is>
      </c>
      <c r="F27" s="41">
        <f>A27&amp;"|"&amp;D27&amp;"|"&amp;E27</f>
        <v/>
      </c>
      <c r="G27" s="63" t="n">
        <v>43.1</v>
      </c>
      <c r="H27" s="63" t="n"/>
      <c r="I27" s="63" t="n"/>
      <c r="J27" s="63" t="n"/>
      <c r="K27" s="63" t="n"/>
      <c r="L27" s="64">
        <f>IF(COUNT(G27:K27)=0,"",MEDIAN(G27:K27))</f>
        <v/>
      </c>
      <c r="M27" s="65">
        <f>IF(COUNT(G27:K27)=0,"",MIN(G27:K27))</f>
        <v/>
      </c>
      <c r="N27" s="65">
        <f>IF(COUNT(G27:K27)=0,"",MAX(G27:K27))</f>
        <v/>
      </c>
      <c r="O27" s="45">
        <f>IF(COUNT(G27:K27)&lt;2,"",IF(L27=0,"",(N27-M27)/L27))</f>
        <v/>
      </c>
      <c r="P27" s="5" t="inlineStr">
        <is>
          <t>Settings &gt; Apps &gt; &lt;app&gt; &gt; Storage usage, read via uiautomator dump on 2026-10-22; app identity confirmed by version stri</t>
        </is>
      </c>
    </row>
    <row r="28">
      <c r="A28" s="46" t="inlineStr">
        <is>
          <t>R4</t>
        </is>
      </c>
      <c r="B28" s="46" t="inlineStr">
        <is>
          <t>App size (installed)</t>
        </is>
      </c>
      <c r="C28" s="46" t="inlineStr">
        <is>
          <t>MB</t>
        </is>
      </c>
      <c r="D28" s="46" t="inlineStr">
        <is>
          <t>Groww</t>
        </is>
      </c>
      <c r="E28" s="46" t="inlineStr">
        <is>
          <t>OPPO CPH3009</t>
        </is>
      </c>
      <c r="F28" s="41">
        <f>A28&amp;"|"&amp;D28&amp;"|"&amp;E28</f>
        <v/>
      </c>
      <c r="G28" s="63" t="n">
        <v>117</v>
      </c>
      <c r="H28" s="63" t="n"/>
      <c r="I28" s="63" t="n"/>
      <c r="J28" s="63" t="n"/>
      <c r="K28" s="63" t="n"/>
      <c r="L28" s="64">
        <f>IF(COUNT(G28:K28)=0,"",MEDIAN(G28:K28))</f>
        <v/>
      </c>
      <c r="M28" s="65">
        <f>IF(COUNT(G28:K28)=0,"",MIN(G28:K28))</f>
        <v/>
      </c>
      <c r="N28" s="65">
        <f>IF(COUNT(G28:K28)=0,"",MAX(G28:K28))</f>
        <v/>
      </c>
      <c r="O28" s="45">
        <f>IF(COUNT(G28:K28)&lt;2,"",IF(L28=0,"",(N28-M28)/L28))</f>
        <v/>
      </c>
      <c r="P28" s="5" t="inlineStr">
        <is>
          <t>Settings &gt; Apps &gt; &lt;app&gt; &gt; Storage usage, read via uiautomator dump on 2026-10-22; app identity confirmed by version stri</t>
        </is>
      </c>
    </row>
    <row r="29">
      <c r="A29" s="46" t="inlineStr">
        <is>
          <t>R4</t>
        </is>
      </c>
      <c r="B29" s="46" t="inlineStr">
        <is>
          <t>App size (installed)</t>
        </is>
      </c>
      <c r="C29" s="46" t="inlineStr">
        <is>
          <t>MB</t>
        </is>
      </c>
      <c r="D29" s="46" t="inlineStr">
        <is>
          <t>Angel One</t>
        </is>
      </c>
      <c r="E29" s="46" t="inlineStr">
        <is>
          <t>OPPO CPH3009</t>
        </is>
      </c>
      <c r="F29" s="41">
        <f>A29&amp;"|"&amp;D29&amp;"|"&amp;E29</f>
        <v/>
      </c>
      <c r="G29" s="63" t="n">
        <v>134</v>
      </c>
      <c r="H29" s="63" t="n"/>
      <c r="I29" s="63" t="n"/>
      <c r="J29" s="63" t="n"/>
      <c r="K29" s="63" t="n"/>
      <c r="L29" s="64">
        <f>IF(COUNT(G29:K29)=0,"",MEDIAN(G29:K29))</f>
        <v/>
      </c>
      <c r="M29" s="65">
        <f>IF(COUNT(G29:K29)=0,"",MIN(G29:K29))</f>
        <v/>
      </c>
      <c r="N29" s="65">
        <f>IF(COUNT(G29:K29)=0,"",MAX(G29:K29))</f>
        <v/>
      </c>
      <c r="O29" s="45">
        <f>IF(COUNT(G29:K29)&lt;2,"",IF(L29=0,"",(N29-M29)/L29))</f>
        <v/>
      </c>
      <c r="P29" s="5" t="inlineStr">
        <is>
          <t>Settings &gt; Apps &gt; &lt;app&gt; &gt; Storage usage, read via uiautomator dump on 2026-10-22; app identity confirmed by version stri</t>
        </is>
      </c>
    </row>
    <row r="30">
      <c r="A30" s="46" t="inlineStr">
        <is>
          <t>R4</t>
        </is>
      </c>
      <c r="B30" s="46" t="inlineStr">
        <is>
          <t>App size (installed)</t>
        </is>
      </c>
      <c r="C30" s="46" t="inlineStr">
        <is>
          <t>MB</t>
        </is>
      </c>
      <c r="D30" s="46" t="inlineStr">
        <is>
          <t>INDmoney</t>
        </is>
      </c>
      <c r="E30" s="46" t="inlineStr">
        <is>
          <t>OPPO CPH3009</t>
        </is>
      </c>
      <c r="F30" s="41">
        <f>A30&amp;"|"&amp;D30&amp;"|"&amp;E30</f>
        <v/>
      </c>
      <c r="G30" s="63" t="n">
        <v>124</v>
      </c>
      <c r="H30" s="63" t="n"/>
      <c r="I30" s="63" t="n"/>
      <c r="J30" s="63" t="n"/>
      <c r="K30" s="63" t="n"/>
      <c r="L30" s="64">
        <f>IF(COUNT(G30:K30)=0,"",MEDIAN(G30:K30))</f>
        <v/>
      </c>
      <c r="M30" s="65">
        <f>IF(COUNT(G30:K30)=0,"",MIN(G30:K30))</f>
        <v/>
      </c>
      <c r="N30" s="65">
        <f>IF(COUNT(G30:K30)=0,"",MAX(G30:K30))</f>
        <v/>
      </c>
      <c r="O30" s="45">
        <f>IF(COUNT(G30:K30)&lt;2,"",IF(L30=0,"",(N30-M30)/L30))</f>
        <v/>
      </c>
      <c r="P30" s="5" t="inlineStr">
        <is>
          <t>Settings &gt; Apps &gt; &lt;app&gt; &gt; Storage usage, read via uiautomator dump on 2026-10-22; app identity confirmed by version stri</t>
        </is>
      </c>
    </row>
    <row r="31">
      <c r="A31" s="46" t="inlineStr">
        <is>
          <t>R4</t>
        </is>
      </c>
      <c r="B31" s="46" t="inlineStr">
        <is>
          <t>App size (installed)</t>
        </is>
      </c>
      <c r="C31" s="46" t="inlineStr">
        <is>
          <t>MB</t>
        </is>
      </c>
      <c r="D31" s="46" t="inlineStr">
        <is>
          <t>Kotak Neo</t>
        </is>
      </c>
      <c r="E31" s="46" t="inlineStr">
        <is>
          <t>OPPO CPH3009</t>
        </is>
      </c>
      <c r="F31" s="41">
        <f>A31&amp;"|"&amp;D31&amp;"|"&amp;E31</f>
        <v/>
      </c>
      <c r="G31" s="63" t="n">
        <v>212</v>
      </c>
      <c r="H31" s="63" t="n"/>
      <c r="I31" s="63" t="n"/>
      <c r="J31" s="63" t="n"/>
      <c r="K31" s="63" t="n"/>
      <c r="L31" s="64">
        <f>IF(COUNT(G31:K31)=0,"",MEDIAN(G31:K31))</f>
        <v/>
      </c>
      <c r="M31" s="65">
        <f>IF(COUNT(G31:K31)=0,"",MIN(G31:K31))</f>
        <v/>
      </c>
      <c r="N31" s="65">
        <f>IF(COUNT(G31:K31)=0,"",MAX(G31:K31))</f>
        <v/>
      </c>
      <c r="O31" s="45">
        <f>IF(COUNT(G31:K31)&lt;2,"",IF(L31=0,"",(N31-M31)/L31))</f>
        <v/>
      </c>
      <c r="P31" s="5" t="inlineStr">
        <is>
          <t>Settings &gt; Apps &gt; &lt;app&gt; &gt; Storage usage, read via uiautomator dump on 2026-10-22; app identity confirmed by version stri</t>
        </is>
      </c>
    </row>
    <row r="32">
      <c r="A32" s="46" t="inlineStr">
        <is>
          <t>R4</t>
        </is>
      </c>
      <c r="B32" s="46" t="inlineStr">
        <is>
          <t>App size (installed)</t>
        </is>
      </c>
      <c r="C32" s="46" t="inlineStr">
        <is>
          <t>MB</t>
        </is>
      </c>
      <c r="D32" s="46" t="inlineStr">
        <is>
          <t>SAHI</t>
        </is>
      </c>
      <c r="E32" s="46" t="inlineStr">
        <is>
          <t>OPPO CPH3009</t>
        </is>
      </c>
      <c r="F32" s="41">
        <f>A32&amp;"|"&amp;D32&amp;"|"&amp;E32</f>
        <v/>
      </c>
      <c r="G32" s="63" t="n">
        <v>148</v>
      </c>
      <c r="H32" s="63" t="n"/>
      <c r="I32" s="63" t="n"/>
      <c r="J32" s="63" t="n"/>
      <c r="K32" s="63" t="n"/>
      <c r="L32" s="64">
        <f>IF(COUNT(G32:K32)=0,"",MEDIAN(G32:K32))</f>
        <v/>
      </c>
      <c r="M32" s="65">
        <f>IF(COUNT(G32:K32)=0,"",MIN(G32:K32))</f>
        <v/>
      </c>
      <c r="N32" s="65">
        <f>IF(COUNT(G32:K32)=0,"",MAX(G32:K32))</f>
        <v/>
      </c>
      <c r="O32" s="45">
        <f>IF(COUNT(G32:K32)&lt;2,"",IF(L32=0,"",(N32-M32)/L32))</f>
        <v/>
      </c>
      <c r="P32" s="5" t="inlineStr">
        <is>
          <t>Settings &gt; Apps &gt; &lt;app&gt; &gt; Storage usage, read via uiautomator dump on 2026-10-22; app identity confirmed by version stri</t>
        </is>
      </c>
    </row>
    <row r="33">
      <c r="A33" s="8" t="inlineStr">
        <is>
          <t>R5</t>
        </is>
      </c>
      <c r="B33" s="8" t="inlineStr">
        <is>
          <t>User data – fresh install (before login)</t>
        </is>
      </c>
      <c r="C33" s="8" t="inlineStr">
        <is>
          <t>MB</t>
        </is>
      </c>
      <c r="D33" s="8" t="inlineStr">
        <is>
          <t>RISE</t>
        </is>
      </c>
      <c r="E33" s="8" t="inlineStr">
        <is>
          <t>OPPO CPH3009</t>
        </is>
      </c>
      <c r="F33" s="41">
        <f>A33&amp;"|"&amp;D33&amp;"|"&amp;E33</f>
        <v/>
      </c>
      <c r="G33" s="63" t="n"/>
      <c r="H33" s="63" t="n"/>
      <c r="I33" s="63" t="n"/>
      <c r="J33" s="63" t="n"/>
      <c r="K33" s="63" t="n"/>
      <c r="L33" s="64">
        <f>IF(COUNT(G33:K33)=0,"",MEDIAN(G33:K33))</f>
        <v/>
      </c>
      <c r="M33" s="65">
        <f>IF(COUNT(G33:K33)=0,"",MIN(G33:K33))</f>
        <v/>
      </c>
      <c r="N33" s="65">
        <f>IF(COUNT(G33:K33)=0,"",MAX(G33:K33))</f>
        <v/>
      </c>
      <c r="O33" s="45">
        <f>IF(COUNT(G33:K33)&lt;2,"",IF(L33=0,"",(N33-M33)/L33))</f>
        <v/>
      </c>
      <c r="P33" s="5" t="n"/>
    </row>
    <row r="34">
      <c r="A34" s="6" t="inlineStr">
        <is>
          <t>R5</t>
        </is>
      </c>
      <c r="B34" s="6" t="inlineStr">
        <is>
          <t>User data – fresh install (before login)</t>
        </is>
      </c>
      <c r="C34" s="6" t="inlineStr">
        <is>
          <t>MB</t>
        </is>
      </c>
      <c r="D34" s="6" t="inlineStr">
        <is>
          <t>Kite</t>
        </is>
      </c>
      <c r="E34" s="6" t="inlineStr">
        <is>
          <t>OPPO CPH3009</t>
        </is>
      </c>
      <c r="F34" s="41">
        <f>A34&amp;"|"&amp;D34&amp;"|"&amp;E34</f>
        <v/>
      </c>
      <c r="G34" s="63" t="n"/>
      <c r="H34" s="63" t="n"/>
      <c r="I34" s="63" t="n"/>
      <c r="J34" s="63" t="n"/>
      <c r="K34" s="63" t="n"/>
      <c r="L34" s="64">
        <f>IF(COUNT(G34:K34)=0,"",MEDIAN(G34:K34))</f>
        <v/>
      </c>
      <c r="M34" s="65">
        <f>IF(COUNT(G34:K34)=0,"",MIN(G34:K34))</f>
        <v/>
      </c>
      <c r="N34" s="65">
        <f>IF(COUNT(G34:K34)=0,"",MAX(G34:K34))</f>
        <v/>
      </c>
      <c r="O34" s="45">
        <f>IF(COUNT(G34:K34)&lt;2,"",IF(L34=0,"",(N34-M34)/L34))</f>
        <v/>
      </c>
      <c r="P34" s="5" t="n"/>
    </row>
    <row r="35">
      <c r="A35" s="6" t="inlineStr">
        <is>
          <t>R5</t>
        </is>
      </c>
      <c r="B35" s="6" t="inlineStr">
        <is>
          <t>User data – fresh install (before login)</t>
        </is>
      </c>
      <c r="C35" s="6" t="inlineStr">
        <is>
          <t>MB</t>
        </is>
      </c>
      <c r="D35" s="6" t="inlineStr">
        <is>
          <t>Groww</t>
        </is>
      </c>
      <c r="E35" s="6" t="inlineStr">
        <is>
          <t>OPPO CPH3009</t>
        </is>
      </c>
      <c r="F35" s="41">
        <f>A35&amp;"|"&amp;D35&amp;"|"&amp;E35</f>
        <v/>
      </c>
      <c r="G35" s="63" t="n"/>
      <c r="H35" s="63" t="n"/>
      <c r="I35" s="63" t="n"/>
      <c r="J35" s="63" t="n"/>
      <c r="K35" s="63" t="n"/>
      <c r="L35" s="64">
        <f>IF(COUNT(G35:K35)=0,"",MEDIAN(G35:K35))</f>
        <v/>
      </c>
      <c r="M35" s="65">
        <f>IF(COUNT(G35:K35)=0,"",MIN(G35:K35))</f>
        <v/>
      </c>
      <c r="N35" s="65">
        <f>IF(COUNT(G35:K35)=0,"",MAX(G35:K35))</f>
        <v/>
      </c>
      <c r="O35" s="45">
        <f>IF(COUNT(G35:K35)&lt;2,"",IF(L35=0,"",(N35-M35)/L35))</f>
        <v/>
      </c>
      <c r="P35" s="5" t="n"/>
    </row>
    <row r="36">
      <c r="A36" s="6" t="inlineStr">
        <is>
          <t>R5</t>
        </is>
      </c>
      <c r="B36" s="6" t="inlineStr">
        <is>
          <t>User data – fresh install (before login)</t>
        </is>
      </c>
      <c r="C36" s="6" t="inlineStr">
        <is>
          <t>MB</t>
        </is>
      </c>
      <c r="D36" s="6" t="inlineStr">
        <is>
          <t>Angel One</t>
        </is>
      </c>
      <c r="E36" s="6" t="inlineStr">
        <is>
          <t>OPPO CPH3009</t>
        </is>
      </c>
      <c r="F36" s="41">
        <f>A36&amp;"|"&amp;D36&amp;"|"&amp;E36</f>
        <v/>
      </c>
      <c r="G36" s="63" t="n"/>
      <c r="H36" s="63" t="n"/>
      <c r="I36" s="63" t="n"/>
      <c r="J36" s="63" t="n"/>
      <c r="K36" s="63" t="n"/>
      <c r="L36" s="64">
        <f>IF(COUNT(G36:K36)=0,"",MEDIAN(G36:K36))</f>
        <v/>
      </c>
      <c r="M36" s="65">
        <f>IF(COUNT(G36:K36)=0,"",MIN(G36:K36))</f>
        <v/>
      </c>
      <c r="N36" s="65">
        <f>IF(COUNT(G36:K36)=0,"",MAX(G36:K36))</f>
        <v/>
      </c>
      <c r="O36" s="45">
        <f>IF(COUNT(G36:K36)&lt;2,"",IF(L36=0,"",(N36-M36)/L36))</f>
        <v/>
      </c>
      <c r="P36" s="5" t="n"/>
    </row>
    <row r="37">
      <c r="A37" s="6" t="inlineStr">
        <is>
          <t>R5</t>
        </is>
      </c>
      <c r="B37" s="6" t="inlineStr">
        <is>
          <t>User data – fresh install (before login)</t>
        </is>
      </c>
      <c r="C37" s="6" t="inlineStr">
        <is>
          <t>MB</t>
        </is>
      </c>
      <c r="D37" s="6" t="inlineStr">
        <is>
          <t>INDmoney</t>
        </is>
      </c>
      <c r="E37" s="6" t="inlineStr">
        <is>
          <t>OPPO CPH3009</t>
        </is>
      </c>
      <c r="F37" s="41">
        <f>A37&amp;"|"&amp;D37&amp;"|"&amp;E37</f>
        <v/>
      </c>
      <c r="G37" s="63" t="n"/>
      <c r="H37" s="63" t="n"/>
      <c r="I37" s="63" t="n"/>
      <c r="J37" s="63" t="n"/>
      <c r="K37" s="63" t="n"/>
      <c r="L37" s="64">
        <f>IF(COUNT(G37:K37)=0,"",MEDIAN(G37:K37))</f>
        <v/>
      </c>
      <c r="M37" s="65">
        <f>IF(COUNT(G37:K37)=0,"",MIN(G37:K37))</f>
        <v/>
      </c>
      <c r="N37" s="65">
        <f>IF(COUNT(G37:K37)=0,"",MAX(G37:K37))</f>
        <v/>
      </c>
      <c r="O37" s="45">
        <f>IF(COUNT(G37:K37)&lt;2,"",IF(L37=0,"",(N37-M37)/L37))</f>
        <v/>
      </c>
      <c r="P37" s="5" t="n"/>
    </row>
    <row r="38">
      <c r="A38" s="6" t="inlineStr">
        <is>
          <t>R5</t>
        </is>
      </c>
      <c r="B38" s="6" t="inlineStr">
        <is>
          <t>User data – fresh install (before login)</t>
        </is>
      </c>
      <c r="C38" s="6" t="inlineStr">
        <is>
          <t>MB</t>
        </is>
      </c>
      <c r="D38" s="6" t="inlineStr">
        <is>
          <t>Kotak Neo</t>
        </is>
      </c>
      <c r="E38" s="6" t="inlineStr">
        <is>
          <t>OPPO CPH3009</t>
        </is>
      </c>
      <c r="F38" s="41">
        <f>A38&amp;"|"&amp;D38&amp;"|"&amp;E38</f>
        <v/>
      </c>
      <c r="G38" s="63" t="n"/>
      <c r="H38" s="63" t="n"/>
      <c r="I38" s="63" t="n"/>
      <c r="J38" s="63" t="n"/>
      <c r="K38" s="63" t="n"/>
      <c r="L38" s="64">
        <f>IF(COUNT(G38:K38)=0,"",MEDIAN(G38:K38))</f>
        <v/>
      </c>
      <c r="M38" s="65">
        <f>IF(COUNT(G38:K38)=0,"",MIN(G38:K38))</f>
        <v/>
      </c>
      <c r="N38" s="65">
        <f>IF(COUNT(G38:K38)=0,"",MAX(G38:K38))</f>
        <v/>
      </c>
      <c r="O38" s="45">
        <f>IF(COUNT(G38:K38)&lt;2,"",IF(L38=0,"",(N38-M38)/L38))</f>
        <v/>
      </c>
      <c r="P38" s="5" t="n"/>
    </row>
    <row r="39">
      <c r="A39" s="6" t="inlineStr">
        <is>
          <t>R5</t>
        </is>
      </c>
      <c r="B39" s="6" t="inlineStr">
        <is>
          <t>User data – fresh install (before login)</t>
        </is>
      </c>
      <c r="C39" s="6" t="inlineStr">
        <is>
          <t>MB</t>
        </is>
      </c>
      <c r="D39" s="6" t="inlineStr">
        <is>
          <t>SAHI</t>
        </is>
      </c>
      <c r="E39" s="6" t="inlineStr">
        <is>
          <t>OPPO CPH3009</t>
        </is>
      </c>
      <c r="F39" s="41">
        <f>A39&amp;"|"&amp;D39&amp;"|"&amp;E39</f>
        <v/>
      </c>
      <c r="G39" s="63" t="n"/>
      <c r="H39" s="63" t="n"/>
      <c r="I39" s="63" t="n"/>
      <c r="J39" s="63" t="n"/>
      <c r="K39" s="63" t="n"/>
      <c r="L39" s="64">
        <f>IF(COUNT(G39:K39)=0,"",MEDIAN(G39:K39))</f>
        <v/>
      </c>
      <c r="M39" s="65">
        <f>IF(COUNT(G39:K39)=0,"",MIN(G39:K39))</f>
        <v/>
      </c>
      <c r="N39" s="65">
        <f>IF(COUNT(G39:K39)=0,"",MAX(G39:K39))</f>
        <v/>
      </c>
      <c r="O39" s="45">
        <f>IF(COUNT(G39:K39)&lt;2,"",IF(L39=0,"",(N39-M39)/L39))</f>
        <v/>
      </c>
      <c r="P39" s="5" t="n"/>
    </row>
    <row r="40">
      <c r="A40" s="8" t="inlineStr">
        <is>
          <t>R6</t>
        </is>
      </c>
      <c r="B40" s="8" t="inlineStr">
        <is>
          <t>User data – after login + first screen open</t>
        </is>
      </c>
      <c r="C40" s="8" t="inlineStr">
        <is>
          <t>MB</t>
        </is>
      </c>
      <c r="D40" s="8" t="inlineStr">
        <is>
          <t>RISE</t>
        </is>
      </c>
      <c r="E40" s="8" t="inlineStr">
        <is>
          <t>OPPO CPH3009</t>
        </is>
      </c>
      <c r="F40" s="41">
        <f>A40&amp;"|"&amp;D40&amp;"|"&amp;E40</f>
        <v/>
      </c>
      <c r="G40" s="63" t="n">
        <v>14.1</v>
      </c>
      <c r="H40" s="63" t="n"/>
      <c r="I40" s="63" t="n"/>
      <c r="J40" s="63" t="n"/>
      <c r="K40" s="63" t="n"/>
      <c r="L40" s="64">
        <f>IF(COUNT(G40:K40)=0,"",MEDIAN(G40:K40))</f>
        <v/>
      </c>
      <c r="M40" s="65">
        <f>IF(COUNT(G40:K40)=0,"",MIN(G40:K40))</f>
        <v/>
      </c>
      <c r="N40" s="65">
        <f>IF(COUNT(G40:K40)=0,"",MAX(G40:K40))</f>
        <v/>
      </c>
      <c r="O40" s="45">
        <f>IF(COUNT(G40:K40)&lt;2,"",IF(L40=0,"",(N40-M40)/L40))</f>
        <v/>
      </c>
      <c r="P40" s="5" t="inlineStr">
        <is>
          <t>Settings &gt; Apps &gt; &lt;app&gt; &gt; Storage usage, read via uiautomator dump on 2026-10-22; app identity confirmed by version stri</t>
        </is>
      </c>
    </row>
    <row r="41">
      <c r="A41" s="46" t="inlineStr">
        <is>
          <t>R6</t>
        </is>
      </c>
      <c r="B41" s="46" t="inlineStr">
        <is>
          <t>User data – after login + first screen open</t>
        </is>
      </c>
      <c r="C41" s="46" t="inlineStr">
        <is>
          <t>MB</t>
        </is>
      </c>
      <c r="D41" s="46" t="inlineStr">
        <is>
          <t>Kite</t>
        </is>
      </c>
      <c r="E41" s="46" t="inlineStr">
        <is>
          <t>OPPO CPH3009</t>
        </is>
      </c>
      <c r="F41" s="41">
        <f>A41&amp;"|"&amp;D41&amp;"|"&amp;E41</f>
        <v/>
      </c>
      <c r="G41" s="63" t="n">
        <v>39.3</v>
      </c>
      <c r="H41" s="63" t="n"/>
      <c r="I41" s="63" t="n"/>
      <c r="J41" s="63" t="n"/>
      <c r="K41" s="63" t="n"/>
      <c r="L41" s="64">
        <f>IF(COUNT(G41:K41)=0,"",MEDIAN(G41:K41))</f>
        <v/>
      </c>
      <c r="M41" s="65">
        <f>IF(COUNT(G41:K41)=0,"",MIN(G41:K41))</f>
        <v/>
      </c>
      <c r="N41" s="65">
        <f>IF(COUNT(G41:K41)=0,"",MAX(G41:K41))</f>
        <v/>
      </c>
      <c r="O41" s="45">
        <f>IF(COUNT(G41:K41)&lt;2,"",IF(L41=0,"",(N41-M41)/L41))</f>
        <v/>
      </c>
      <c r="P41" s="5" t="inlineStr">
        <is>
          <t>Settings &gt; Apps &gt; &lt;app&gt; &gt; Storage usage, read via uiautomator dump on 2026-10-22; app identity confirmed by version stri</t>
        </is>
      </c>
    </row>
    <row r="42">
      <c r="A42" s="46" t="inlineStr">
        <is>
          <t>R6</t>
        </is>
      </c>
      <c r="B42" s="46" t="inlineStr">
        <is>
          <t>User data – after login + first screen open</t>
        </is>
      </c>
      <c r="C42" s="46" t="inlineStr">
        <is>
          <t>MB</t>
        </is>
      </c>
      <c r="D42" s="46" t="inlineStr">
        <is>
          <t>Groww</t>
        </is>
      </c>
      <c r="E42" s="46" t="inlineStr">
        <is>
          <t>OPPO CPH3009</t>
        </is>
      </c>
      <c r="F42" s="41">
        <f>A42&amp;"|"&amp;D42&amp;"|"&amp;E42</f>
        <v/>
      </c>
      <c r="G42" s="63" t="n">
        <v>9.699999999999999</v>
      </c>
      <c r="H42" s="63" t="n"/>
      <c r="I42" s="63" t="n"/>
      <c r="J42" s="63" t="n"/>
      <c r="K42" s="63" t="n"/>
      <c r="L42" s="64">
        <f>IF(COUNT(G42:K42)=0,"",MEDIAN(G42:K42))</f>
        <v/>
      </c>
      <c r="M42" s="65">
        <f>IF(COUNT(G42:K42)=0,"",MIN(G42:K42))</f>
        <v/>
      </c>
      <c r="N42" s="65">
        <f>IF(COUNT(G42:K42)=0,"",MAX(G42:K42))</f>
        <v/>
      </c>
      <c r="O42" s="45">
        <f>IF(COUNT(G42:K42)&lt;2,"",IF(L42=0,"",(N42-M42)/L42))</f>
        <v/>
      </c>
      <c r="P42" s="5" t="inlineStr">
        <is>
          <t>Settings &gt; Apps &gt; &lt;app&gt; &gt; Storage usage, read via uiautomator dump on 2026-10-22; app identity confirmed by version stri</t>
        </is>
      </c>
    </row>
    <row r="43">
      <c r="A43" s="46" t="inlineStr">
        <is>
          <t>R6</t>
        </is>
      </c>
      <c r="B43" s="46" t="inlineStr">
        <is>
          <t>User data – after login + first screen open</t>
        </is>
      </c>
      <c r="C43" s="46" t="inlineStr">
        <is>
          <t>MB</t>
        </is>
      </c>
      <c r="D43" s="46" t="inlineStr">
        <is>
          <t>Angel One</t>
        </is>
      </c>
      <c r="E43" s="46" t="inlineStr">
        <is>
          <t>OPPO CPH3009</t>
        </is>
      </c>
      <c r="F43" s="41">
        <f>A43&amp;"|"&amp;D43&amp;"|"&amp;E43</f>
        <v/>
      </c>
      <c r="G43" s="63" t="n">
        <v>15.4</v>
      </c>
      <c r="H43" s="63" t="n"/>
      <c r="I43" s="63" t="n"/>
      <c r="J43" s="63" t="n"/>
      <c r="K43" s="63" t="n"/>
      <c r="L43" s="64">
        <f>IF(COUNT(G43:K43)=0,"",MEDIAN(G43:K43))</f>
        <v/>
      </c>
      <c r="M43" s="65">
        <f>IF(COUNT(G43:K43)=0,"",MIN(G43:K43))</f>
        <v/>
      </c>
      <c r="N43" s="65">
        <f>IF(COUNT(G43:K43)=0,"",MAX(G43:K43))</f>
        <v/>
      </c>
      <c r="O43" s="45">
        <f>IF(COUNT(G43:K43)&lt;2,"",IF(L43=0,"",(N43-M43)/L43))</f>
        <v/>
      </c>
      <c r="P43" s="5" t="inlineStr">
        <is>
          <t>Settings &gt; Apps &gt; &lt;app&gt; &gt; Storage usage, read via uiautomator dump on 2026-10-22; app identity confirmed by version stri</t>
        </is>
      </c>
    </row>
    <row r="44">
      <c r="A44" s="46" t="inlineStr">
        <is>
          <t>R6</t>
        </is>
      </c>
      <c r="B44" s="46" t="inlineStr">
        <is>
          <t>User data – after login + first screen open</t>
        </is>
      </c>
      <c r="C44" s="46" t="inlineStr">
        <is>
          <t>MB</t>
        </is>
      </c>
      <c r="D44" s="46" t="inlineStr">
        <is>
          <t>INDmoney</t>
        </is>
      </c>
      <c r="E44" s="46" t="inlineStr">
        <is>
          <t>OPPO CPH3009</t>
        </is>
      </c>
      <c r="F44" s="41">
        <f>A44&amp;"|"&amp;D44&amp;"|"&amp;E44</f>
        <v/>
      </c>
      <c r="G44" s="63" t="n">
        <v>28.5</v>
      </c>
      <c r="H44" s="63" t="n"/>
      <c r="I44" s="63" t="n"/>
      <c r="J44" s="63" t="n"/>
      <c r="K44" s="63" t="n"/>
      <c r="L44" s="64">
        <f>IF(COUNT(G44:K44)=0,"",MEDIAN(G44:K44))</f>
        <v/>
      </c>
      <c r="M44" s="65">
        <f>IF(COUNT(G44:K44)=0,"",MIN(G44:K44))</f>
        <v/>
      </c>
      <c r="N44" s="65">
        <f>IF(COUNT(G44:K44)=0,"",MAX(G44:K44))</f>
        <v/>
      </c>
      <c r="O44" s="45">
        <f>IF(COUNT(G44:K44)&lt;2,"",IF(L44=0,"",(N44-M44)/L44))</f>
        <v/>
      </c>
      <c r="P44" s="5" t="inlineStr">
        <is>
          <t>Settings &gt; Apps &gt; &lt;app&gt; &gt; Storage usage, read via uiautomator dump on 2026-10-22; app identity confirmed by version stri</t>
        </is>
      </c>
    </row>
    <row r="45">
      <c r="A45" s="46" t="inlineStr">
        <is>
          <t>R6</t>
        </is>
      </c>
      <c r="B45" s="46" t="inlineStr">
        <is>
          <t>User data – after login + first screen open</t>
        </is>
      </c>
      <c r="C45" s="46" t="inlineStr">
        <is>
          <t>MB</t>
        </is>
      </c>
      <c r="D45" s="46" t="inlineStr">
        <is>
          <t>Kotak Neo</t>
        </is>
      </c>
      <c r="E45" s="46" t="inlineStr">
        <is>
          <t>OPPO CPH3009</t>
        </is>
      </c>
      <c r="F45" s="41">
        <f>A45&amp;"|"&amp;D45&amp;"|"&amp;E45</f>
        <v/>
      </c>
      <c r="G45" s="63" t="n">
        <v>5.7</v>
      </c>
      <c r="H45" s="63" t="n"/>
      <c r="I45" s="63" t="n"/>
      <c r="J45" s="63" t="n"/>
      <c r="K45" s="63" t="n"/>
      <c r="L45" s="64">
        <f>IF(COUNT(G45:K45)=0,"",MEDIAN(G45:K45))</f>
        <v/>
      </c>
      <c r="M45" s="65">
        <f>IF(COUNT(G45:K45)=0,"",MIN(G45:K45))</f>
        <v/>
      </c>
      <c r="N45" s="65">
        <f>IF(COUNT(G45:K45)=0,"",MAX(G45:K45))</f>
        <v/>
      </c>
      <c r="O45" s="45">
        <f>IF(COUNT(G45:K45)&lt;2,"",IF(L45=0,"",(N45-M45)/L45))</f>
        <v/>
      </c>
      <c r="P45" s="5" t="inlineStr">
        <is>
          <t>Settings &gt; Apps &gt; &lt;app&gt; &gt; Storage usage, read via uiautomator dump on 2026-10-22; app identity confirmed by version stri</t>
        </is>
      </c>
    </row>
    <row r="46">
      <c r="A46" s="46" t="inlineStr">
        <is>
          <t>R6</t>
        </is>
      </c>
      <c r="B46" s="46" t="inlineStr">
        <is>
          <t>User data – after login + first screen open</t>
        </is>
      </c>
      <c r="C46" s="46" t="inlineStr">
        <is>
          <t>MB</t>
        </is>
      </c>
      <c r="D46" s="46" t="inlineStr">
        <is>
          <t>SAHI</t>
        </is>
      </c>
      <c r="E46" s="46" t="inlineStr">
        <is>
          <t>OPPO CPH3009</t>
        </is>
      </c>
      <c r="F46" s="41">
        <f>A46&amp;"|"&amp;D46&amp;"|"&amp;E46</f>
        <v/>
      </c>
      <c r="G46" s="63" t="n">
        <v>52.3</v>
      </c>
      <c r="H46" s="63" t="n"/>
      <c r="I46" s="63" t="n"/>
      <c r="J46" s="63" t="n"/>
      <c r="K46" s="63" t="n"/>
      <c r="L46" s="64">
        <f>IF(COUNT(G46:K46)=0,"",MEDIAN(G46:K46))</f>
        <v/>
      </c>
      <c r="M46" s="65">
        <f>IF(COUNT(G46:K46)=0,"",MIN(G46:K46))</f>
        <v/>
      </c>
      <c r="N46" s="65">
        <f>IF(COUNT(G46:K46)=0,"",MAX(G46:K46))</f>
        <v/>
      </c>
      <c r="O46" s="45">
        <f>IF(COUNT(G46:K46)&lt;2,"",IF(L46=0,"",(N46-M46)/L46))</f>
        <v/>
      </c>
      <c r="P46" s="5" t="inlineStr">
        <is>
          <t>Settings &gt; Apps &gt; &lt;app&gt; &gt; Storage usage, read via uiautomator dump on 2026-10-22; app identity confirmed by version stri</t>
        </is>
      </c>
    </row>
    <row r="47">
      <c r="A47" s="8" t="inlineStr">
        <is>
          <t>R7</t>
        </is>
      </c>
      <c r="B47" s="8" t="inlineStr">
        <is>
          <t>Cache – after login + first screen open</t>
        </is>
      </c>
      <c r="C47" s="8" t="inlineStr">
        <is>
          <t>MB</t>
        </is>
      </c>
      <c r="D47" s="8" t="inlineStr">
        <is>
          <t>RISE</t>
        </is>
      </c>
      <c r="E47" s="8" t="inlineStr">
        <is>
          <t>OPPO CPH3009</t>
        </is>
      </c>
      <c r="F47" s="41">
        <f>A47&amp;"|"&amp;D47&amp;"|"&amp;E47</f>
        <v/>
      </c>
      <c r="G47" s="63" t="n">
        <v>9.4</v>
      </c>
      <c r="H47" s="63" t="n"/>
      <c r="I47" s="63" t="n"/>
      <c r="J47" s="63" t="n"/>
      <c r="K47" s="63" t="n"/>
      <c r="L47" s="64">
        <f>IF(COUNT(G47:K47)=0,"",MEDIAN(G47:K47))</f>
        <v/>
      </c>
      <c r="M47" s="65">
        <f>IF(COUNT(G47:K47)=0,"",MIN(G47:K47))</f>
        <v/>
      </c>
      <c r="N47" s="65">
        <f>IF(COUNT(G47:K47)=0,"",MAX(G47:K47))</f>
        <v/>
      </c>
      <c r="O47" s="45">
        <f>IF(COUNT(G47:K47)&lt;2,"",IF(L47=0,"",(N47-M47)/L47))</f>
        <v/>
      </c>
      <c r="P47" s="5" t="inlineStr">
        <is>
          <t>Settings &gt; Apps &gt; &lt;app&gt; &gt; Storage usage, read via uiautomator dump on 2026-10-22; app identity confirmed by version stri</t>
        </is>
      </c>
    </row>
    <row r="48">
      <c r="A48" s="6" t="inlineStr">
        <is>
          <t>R7</t>
        </is>
      </c>
      <c r="B48" s="6" t="inlineStr">
        <is>
          <t>Cache – after login + first screen open</t>
        </is>
      </c>
      <c r="C48" s="6" t="inlineStr">
        <is>
          <t>MB</t>
        </is>
      </c>
      <c r="D48" s="6" t="inlineStr">
        <is>
          <t>Kite</t>
        </is>
      </c>
      <c r="E48" s="6" t="inlineStr">
        <is>
          <t>OPPO CPH3009</t>
        </is>
      </c>
      <c r="F48" s="41">
        <f>A48&amp;"|"&amp;D48&amp;"|"&amp;E48</f>
        <v/>
      </c>
      <c r="G48" s="63" t="n">
        <v>2.3</v>
      </c>
      <c r="H48" s="63" t="n"/>
      <c r="I48" s="63" t="n"/>
      <c r="J48" s="63" t="n"/>
      <c r="K48" s="63" t="n"/>
      <c r="L48" s="64">
        <f>IF(COUNT(G48:K48)=0,"",MEDIAN(G48:K48))</f>
        <v/>
      </c>
      <c r="M48" s="65">
        <f>IF(COUNT(G48:K48)=0,"",MIN(G48:K48))</f>
        <v/>
      </c>
      <c r="N48" s="65">
        <f>IF(COUNT(G48:K48)=0,"",MAX(G48:K48))</f>
        <v/>
      </c>
      <c r="O48" s="45">
        <f>IF(COUNT(G48:K48)&lt;2,"",IF(L48=0,"",(N48-M48)/L48))</f>
        <v/>
      </c>
      <c r="P48" s="5" t="inlineStr">
        <is>
          <t>Settings &gt; Apps &gt; &lt;app&gt; &gt; Storage usage, read via uiautomator dump on 2026-10-22; app identity confirmed by version stri</t>
        </is>
      </c>
    </row>
    <row r="49">
      <c r="A49" s="6" t="inlineStr">
        <is>
          <t>R7</t>
        </is>
      </c>
      <c r="B49" s="6" t="inlineStr">
        <is>
          <t>Cache – after login + first screen open</t>
        </is>
      </c>
      <c r="C49" s="6" t="inlineStr">
        <is>
          <t>MB</t>
        </is>
      </c>
      <c r="D49" s="6" t="inlineStr">
        <is>
          <t>Groww</t>
        </is>
      </c>
      <c r="E49" s="6" t="inlineStr">
        <is>
          <t>OPPO CPH3009</t>
        </is>
      </c>
      <c r="F49" s="41">
        <f>A49&amp;"|"&amp;D49&amp;"|"&amp;E49</f>
        <v/>
      </c>
      <c r="G49" s="63" t="n">
        <v>4</v>
      </c>
      <c r="H49" s="63" t="n"/>
      <c r="I49" s="63" t="n"/>
      <c r="J49" s="63" t="n"/>
      <c r="K49" s="63" t="n"/>
      <c r="L49" s="64">
        <f>IF(COUNT(G49:K49)=0,"",MEDIAN(G49:K49))</f>
        <v/>
      </c>
      <c r="M49" s="65">
        <f>IF(COUNT(G49:K49)=0,"",MIN(G49:K49))</f>
        <v/>
      </c>
      <c r="N49" s="65">
        <f>IF(COUNT(G49:K49)=0,"",MAX(G49:K49))</f>
        <v/>
      </c>
      <c r="O49" s="45">
        <f>IF(COUNT(G49:K49)&lt;2,"",IF(L49=0,"",(N49-M49)/L49))</f>
        <v/>
      </c>
      <c r="P49" s="5" t="inlineStr">
        <is>
          <t>Settings &gt; Apps &gt; &lt;app&gt; &gt; Storage usage, read via uiautomator dump on 2026-10-22; app identity confirmed by version stri</t>
        </is>
      </c>
    </row>
    <row r="50">
      <c r="A50" s="6" t="inlineStr">
        <is>
          <t>R7</t>
        </is>
      </c>
      <c r="B50" s="6" t="inlineStr">
        <is>
          <t>Cache – after login + first screen open</t>
        </is>
      </c>
      <c r="C50" s="6" t="inlineStr">
        <is>
          <t>MB</t>
        </is>
      </c>
      <c r="D50" s="6" t="inlineStr">
        <is>
          <t>Angel One</t>
        </is>
      </c>
      <c r="E50" s="6" t="inlineStr">
        <is>
          <t>OPPO CPH3009</t>
        </is>
      </c>
      <c r="F50" s="41">
        <f>A50&amp;"|"&amp;D50&amp;"|"&amp;E50</f>
        <v/>
      </c>
      <c r="G50" s="63" t="n">
        <v>3.5</v>
      </c>
      <c r="H50" s="63" t="n"/>
      <c r="I50" s="63" t="n"/>
      <c r="J50" s="63" t="n"/>
      <c r="K50" s="63" t="n"/>
      <c r="L50" s="64">
        <f>IF(COUNT(G50:K50)=0,"",MEDIAN(G50:K50))</f>
        <v/>
      </c>
      <c r="M50" s="65">
        <f>IF(COUNT(G50:K50)=0,"",MIN(G50:K50))</f>
        <v/>
      </c>
      <c r="N50" s="65">
        <f>IF(COUNT(G50:K50)=0,"",MAX(G50:K50))</f>
        <v/>
      </c>
      <c r="O50" s="45">
        <f>IF(COUNT(G50:K50)&lt;2,"",IF(L50=0,"",(N50-M50)/L50))</f>
        <v/>
      </c>
      <c r="P50" s="5" t="inlineStr">
        <is>
          <t>Settings &gt; Apps &gt; &lt;app&gt; &gt; Storage usage, read via uiautomator dump on 2026-10-22; app identity confirmed by version stri</t>
        </is>
      </c>
    </row>
    <row r="51">
      <c r="A51" s="6" t="inlineStr">
        <is>
          <t>R7</t>
        </is>
      </c>
      <c r="B51" s="6" t="inlineStr">
        <is>
          <t>Cache – after login + first screen open</t>
        </is>
      </c>
      <c r="C51" s="6" t="inlineStr">
        <is>
          <t>MB</t>
        </is>
      </c>
      <c r="D51" s="6" t="inlineStr">
        <is>
          <t>INDmoney</t>
        </is>
      </c>
      <c r="E51" s="6" t="inlineStr">
        <is>
          <t>OPPO CPH3009</t>
        </is>
      </c>
      <c r="F51" s="41">
        <f>A51&amp;"|"&amp;D51&amp;"|"&amp;E51</f>
        <v/>
      </c>
      <c r="G51" s="63" t="n">
        <v>20.7</v>
      </c>
      <c r="H51" s="63" t="n"/>
      <c r="I51" s="63" t="n"/>
      <c r="J51" s="63" t="n"/>
      <c r="K51" s="63" t="n"/>
      <c r="L51" s="64">
        <f>IF(COUNT(G51:K51)=0,"",MEDIAN(G51:K51))</f>
        <v/>
      </c>
      <c r="M51" s="65">
        <f>IF(COUNT(G51:K51)=0,"",MIN(G51:K51))</f>
        <v/>
      </c>
      <c r="N51" s="65">
        <f>IF(COUNT(G51:K51)=0,"",MAX(G51:K51))</f>
        <v/>
      </c>
      <c r="O51" s="45">
        <f>IF(COUNT(G51:K51)&lt;2,"",IF(L51=0,"",(N51-M51)/L51))</f>
        <v/>
      </c>
      <c r="P51" s="5" t="inlineStr">
        <is>
          <t>Settings &gt; Apps &gt; &lt;app&gt; &gt; Storage usage, read via uiautomator dump on 2026-10-22; app identity confirmed by version stri</t>
        </is>
      </c>
    </row>
    <row r="52">
      <c r="A52" s="6" t="inlineStr">
        <is>
          <t>R7</t>
        </is>
      </c>
      <c r="B52" s="6" t="inlineStr">
        <is>
          <t>Cache – after login + first screen open</t>
        </is>
      </c>
      <c r="C52" s="6" t="inlineStr">
        <is>
          <t>MB</t>
        </is>
      </c>
      <c r="D52" s="6" t="inlineStr">
        <is>
          <t>Kotak Neo</t>
        </is>
      </c>
      <c r="E52" s="6" t="inlineStr">
        <is>
          <t>OPPO CPH3009</t>
        </is>
      </c>
      <c r="F52" s="41">
        <f>A52&amp;"|"&amp;D52&amp;"|"&amp;E52</f>
        <v/>
      </c>
      <c r="G52" s="63" t="n">
        <v>0.7</v>
      </c>
      <c r="H52" s="63" t="n"/>
      <c r="I52" s="63" t="n"/>
      <c r="J52" s="63" t="n"/>
      <c r="K52" s="63" t="n"/>
      <c r="L52" s="64">
        <f>IF(COUNT(G52:K52)=0,"",MEDIAN(G52:K52))</f>
        <v/>
      </c>
      <c r="M52" s="65">
        <f>IF(COUNT(G52:K52)=0,"",MIN(G52:K52))</f>
        <v/>
      </c>
      <c r="N52" s="65">
        <f>IF(COUNT(G52:K52)=0,"",MAX(G52:K52))</f>
        <v/>
      </c>
      <c r="O52" s="45">
        <f>IF(COUNT(G52:K52)&lt;2,"",IF(L52=0,"",(N52-M52)/L52))</f>
        <v/>
      </c>
      <c r="P52" s="5" t="inlineStr">
        <is>
          <t>Settings &gt; Apps &gt; &lt;app&gt; &gt; Storage usage, read via uiautomator dump on 2026-10-22; app identity confirmed by version stri</t>
        </is>
      </c>
    </row>
    <row r="53">
      <c r="A53" s="6" t="inlineStr">
        <is>
          <t>R7</t>
        </is>
      </c>
      <c r="B53" s="6" t="inlineStr">
        <is>
          <t>Cache – after login + first screen open</t>
        </is>
      </c>
      <c r="C53" s="6" t="inlineStr">
        <is>
          <t>MB</t>
        </is>
      </c>
      <c r="D53" s="6" t="inlineStr">
        <is>
          <t>SAHI</t>
        </is>
      </c>
      <c r="E53" s="6" t="inlineStr">
        <is>
          <t>OPPO CPH3009</t>
        </is>
      </c>
      <c r="F53" s="41">
        <f>A53&amp;"|"&amp;D53&amp;"|"&amp;E53</f>
        <v/>
      </c>
      <c r="G53" s="63" t="n">
        <v>0.7</v>
      </c>
      <c r="H53" s="63" t="n"/>
      <c r="I53" s="63" t="n"/>
      <c r="J53" s="63" t="n"/>
      <c r="K53" s="63" t="n"/>
      <c r="L53" s="64">
        <f>IF(COUNT(G53:K53)=0,"",MEDIAN(G53:K53))</f>
        <v/>
      </c>
      <c r="M53" s="65">
        <f>IF(COUNT(G53:K53)=0,"",MIN(G53:K53))</f>
        <v/>
      </c>
      <c r="N53" s="65">
        <f>IF(COUNT(G53:K53)=0,"",MAX(G53:K53))</f>
        <v/>
      </c>
      <c r="O53" s="45">
        <f>IF(COUNT(G53:K53)&lt;2,"",IF(L53=0,"",(N53-M53)/L53))</f>
        <v/>
      </c>
      <c r="P53" s="5" t="inlineStr">
        <is>
          <t>Settings &gt; Apps &gt; &lt;app&gt; &gt; Storage usage, read via uiautomator dump on 2026-10-22; app identity confirmed by version stri</t>
        </is>
      </c>
    </row>
    <row r="54">
      <c r="A54" s="8" t="inlineStr">
        <is>
          <t>R8</t>
        </is>
      </c>
      <c r="B54" s="8" t="inlineStr">
        <is>
          <t>Total storage after 1 day of use</t>
        </is>
      </c>
      <c r="C54" s="8" t="inlineStr">
        <is>
          <t>MB</t>
        </is>
      </c>
      <c r="D54" s="8" t="inlineStr">
        <is>
          <t>RISE</t>
        </is>
      </c>
      <c r="E54" s="8" t="inlineStr">
        <is>
          <t>OPPO CPH3009</t>
        </is>
      </c>
      <c r="F54" s="41">
        <f>A54&amp;"|"&amp;D54&amp;"|"&amp;E54</f>
        <v/>
      </c>
      <c r="G54" s="63" t="n"/>
      <c r="H54" s="63" t="n"/>
      <c r="I54" s="63" t="n"/>
      <c r="J54" s="63" t="n"/>
      <c r="K54" s="63" t="n"/>
      <c r="L54" s="64">
        <f>IF(COUNT(G54:K54)=0,"",MEDIAN(G54:K54))</f>
        <v/>
      </c>
      <c r="M54" s="65">
        <f>IF(COUNT(G54:K54)=0,"",MIN(G54:K54))</f>
        <v/>
      </c>
      <c r="N54" s="65">
        <f>IF(COUNT(G54:K54)=0,"",MAX(G54:K54))</f>
        <v/>
      </c>
      <c r="O54" s="45">
        <f>IF(COUNT(G54:K54)&lt;2,"",IF(L54=0,"",(N54-M54)/L54))</f>
        <v/>
      </c>
      <c r="P54" s="5" t="n"/>
    </row>
    <row r="55">
      <c r="A55" s="46" t="inlineStr">
        <is>
          <t>R8</t>
        </is>
      </c>
      <c r="B55" s="46" t="inlineStr">
        <is>
          <t>Total storage after 1 day of use</t>
        </is>
      </c>
      <c r="C55" s="46" t="inlineStr">
        <is>
          <t>MB</t>
        </is>
      </c>
      <c r="D55" s="46" t="inlineStr">
        <is>
          <t>Kite</t>
        </is>
      </c>
      <c r="E55" s="46" t="inlineStr">
        <is>
          <t>OPPO CPH3009</t>
        </is>
      </c>
      <c r="F55" s="41">
        <f>A55&amp;"|"&amp;D55&amp;"|"&amp;E55</f>
        <v/>
      </c>
      <c r="G55" s="63" t="n"/>
      <c r="H55" s="63" t="n"/>
      <c r="I55" s="63" t="n"/>
      <c r="J55" s="63" t="n"/>
      <c r="K55" s="63" t="n"/>
      <c r="L55" s="64">
        <f>IF(COUNT(G55:K55)=0,"",MEDIAN(G55:K55))</f>
        <v/>
      </c>
      <c r="M55" s="65">
        <f>IF(COUNT(G55:K55)=0,"",MIN(G55:K55))</f>
        <v/>
      </c>
      <c r="N55" s="65">
        <f>IF(COUNT(G55:K55)=0,"",MAX(G55:K55))</f>
        <v/>
      </c>
      <c r="O55" s="45">
        <f>IF(COUNT(G55:K55)&lt;2,"",IF(L55=0,"",(N55-M55)/L55))</f>
        <v/>
      </c>
      <c r="P55" s="5" t="n"/>
    </row>
    <row r="56">
      <c r="A56" s="46" t="inlineStr">
        <is>
          <t>R8</t>
        </is>
      </c>
      <c r="B56" s="46" t="inlineStr">
        <is>
          <t>Total storage after 1 day of use</t>
        </is>
      </c>
      <c r="C56" s="46" t="inlineStr">
        <is>
          <t>MB</t>
        </is>
      </c>
      <c r="D56" s="46" t="inlineStr">
        <is>
          <t>Groww</t>
        </is>
      </c>
      <c r="E56" s="46" t="inlineStr">
        <is>
          <t>OPPO CPH3009</t>
        </is>
      </c>
      <c r="F56" s="41">
        <f>A56&amp;"|"&amp;D56&amp;"|"&amp;E56</f>
        <v/>
      </c>
      <c r="G56" s="63" t="n"/>
      <c r="H56" s="63" t="n"/>
      <c r="I56" s="63" t="n"/>
      <c r="J56" s="63" t="n"/>
      <c r="K56" s="63" t="n"/>
      <c r="L56" s="64">
        <f>IF(COUNT(G56:K56)=0,"",MEDIAN(G56:K56))</f>
        <v/>
      </c>
      <c r="M56" s="65">
        <f>IF(COUNT(G56:K56)=0,"",MIN(G56:K56))</f>
        <v/>
      </c>
      <c r="N56" s="65">
        <f>IF(COUNT(G56:K56)=0,"",MAX(G56:K56))</f>
        <v/>
      </c>
      <c r="O56" s="45">
        <f>IF(COUNT(G56:K56)&lt;2,"",IF(L56=0,"",(N56-M56)/L56))</f>
        <v/>
      </c>
      <c r="P56" s="5" t="n"/>
    </row>
    <row r="57">
      <c r="A57" s="46" t="inlineStr">
        <is>
          <t>R8</t>
        </is>
      </c>
      <c r="B57" s="46" t="inlineStr">
        <is>
          <t>Total storage after 1 day of use</t>
        </is>
      </c>
      <c r="C57" s="46" t="inlineStr">
        <is>
          <t>MB</t>
        </is>
      </c>
      <c r="D57" s="46" t="inlineStr">
        <is>
          <t>Angel One</t>
        </is>
      </c>
      <c r="E57" s="46" t="inlineStr">
        <is>
          <t>OPPO CPH3009</t>
        </is>
      </c>
      <c r="F57" s="41">
        <f>A57&amp;"|"&amp;D57&amp;"|"&amp;E57</f>
        <v/>
      </c>
      <c r="G57" s="63" t="n"/>
      <c r="H57" s="63" t="n"/>
      <c r="I57" s="63" t="n"/>
      <c r="J57" s="63" t="n"/>
      <c r="K57" s="63" t="n"/>
      <c r="L57" s="64">
        <f>IF(COUNT(G57:K57)=0,"",MEDIAN(G57:K57))</f>
        <v/>
      </c>
      <c r="M57" s="65">
        <f>IF(COUNT(G57:K57)=0,"",MIN(G57:K57))</f>
        <v/>
      </c>
      <c r="N57" s="65">
        <f>IF(COUNT(G57:K57)=0,"",MAX(G57:K57))</f>
        <v/>
      </c>
      <c r="O57" s="45">
        <f>IF(COUNT(G57:K57)&lt;2,"",IF(L57=0,"",(N57-M57)/L57))</f>
        <v/>
      </c>
      <c r="P57" s="5" t="n"/>
    </row>
    <row r="58">
      <c r="A58" s="46" t="inlineStr">
        <is>
          <t>R8</t>
        </is>
      </c>
      <c r="B58" s="46" t="inlineStr">
        <is>
          <t>Total storage after 1 day of use</t>
        </is>
      </c>
      <c r="C58" s="46" t="inlineStr">
        <is>
          <t>MB</t>
        </is>
      </c>
      <c r="D58" s="46" t="inlineStr">
        <is>
          <t>INDmoney</t>
        </is>
      </c>
      <c r="E58" s="46" t="inlineStr">
        <is>
          <t>OPPO CPH3009</t>
        </is>
      </c>
      <c r="F58" s="41">
        <f>A58&amp;"|"&amp;D58&amp;"|"&amp;E58</f>
        <v/>
      </c>
      <c r="G58" s="63" t="n"/>
      <c r="H58" s="63" t="n"/>
      <c r="I58" s="63" t="n"/>
      <c r="J58" s="63" t="n"/>
      <c r="K58" s="63" t="n"/>
      <c r="L58" s="64">
        <f>IF(COUNT(G58:K58)=0,"",MEDIAN(G58:K58))</f>
        <v/>
      </c>
      <c r="M58" s="65">
        <f>IF(COUNT(G58:K58)=0,"",MIN(G58:K58))</f>
        <v/>
      </c>
      <c r="N58" s="65">
        <f>IF(COUNT(G58:K58)=0,"",MAX(G58:K58))</f>
        <v/>
      </c>
      <c r="O58" s="45">
        <f>IF(COUNT(G58:K58)&lt;2,"",IF(L58=0,"",(N58-M58)/L58))</f>
        <v/>
      </c>
      <c r="P58" s="5" t="n"/>
    </row>
    <row r="59">
      <c r="A59" s="46" t="inlineStr">
        <is>
          <t>R8</t>
        </is>
      </c>
      <c r="B59" s="46" t="inlineStr">
        <is>
          <t>Total storage after 1 day of use</t>
        </is>
      </c>
      <c r="C59" s="46" t="inlineStr">
        <is>
          <t>MB</t>
        </is>
      </c>
      <c r="D59" s="46" t="inlineStr">
        <is>
          <t>Kotak Neo</t>
        </is>
      </c>
      <c r="E59" s="46" t="inlineStr">
        <is>
          <t>OPPO CPH3009</t>
        </is>
      </c>
      <c r="F59" s="41">
        <f>A59&amp;"|"&amp;D59&amp;"|"&amp;E59</f>
        <v/>
      </c>
      <c r="G59" s="63" t="n"/>
      <c r="H59" s="63" t="n"/>
      <c r="I59" s="63" t="n"/>
      <c r="J59" s="63" t="n"/>
      <c r="K59" s="63" t="n"/>
      <c r="L59" s="64">
        <f>IF(COUNT(G59:K59)=0,"",MEDIAN(G59:K59))</f>
        <v/>
      </c>
      <c r="M59" s="65">
        <f>IF(COUNT(G59:K59)=0,"",MIN(G59:K59))</f>
        <v/>
      </c>
      <c r="N59" s="65">
        <f>IF(COUNT(G59:K59)=0,"",MAX(G59:K59))</f>
        <v/>
      </c>
      <c r="O59" s="45">
        <f>IF(COUNT(G59:K59)&lt;2,"",IF(L59=0,"",(N59-M59)/L59))</f>
        <v/>
      </c>
      <c r="P59" s="5" t="n"/>
    </row>
    <row r="60">
      <c r="A60" s="46" t="inlineStr">
        <is>
          <t>R8</t>
        </is>
      </c>
      <c r="B60" s="46" t="inlineStr">
        <is>
          <t>Total storage after 1 day of use</t>
        </is>
      </c>
      <c r="C60" s="46" t="inlineStr">
        <is>
          <t>MB</t>
        </is>
      </c>
      <c r="D60" s="46" t="inlineStr">
        <is>
          <t>SAHI</t>
        </is>
      </c>
      <c r="E60" s="46" t="inlineStr">
        <is>
          <t>OPPO CPH3009</t>
        </is>
      </c>
      <c r="F60" s="41">
        <f>A60&amp;"|"&amp;D60&amp;"|"&amp;E60</f>
        <v/>
      </c>
      <c r="G60" s="63" t="n"/>
      <c r="H60" s="63" t="n"/>
      <c r="I60" s="63" t="n"/>
      <c r="J60" s="63" t="n"/>
      <c r="K60" s="63" t="n"/>
      <c r="L60" s="64">
        <f>IF(COUNT(G60:K60)=0,"",MEDIAN(G60:K60))</f>
        <v/>
      </c>
      <c r="M60" s="65">
        <f>IF(COUNT(G60:K60)=0,"",MIN(G60:K60))</f>
        <v/>
      </c>
      <c r="N60" s="65">
        <f>IF(COUNT(G60:K60)=0,"",MAX(G60:K60))</f>
        <v/>
      </c>
      <c r="O60" s="45">
        <f>IF(COUNT(G60:K60)&lt;2,"",IF(L60=0,"",(N60-M60)/L60))</f>
        <v/>
      </c>
      <c r="P60" s="5" t="n"/>
    </row>
    <row r="61">
      <c r="A61" s="8" t="inlineStr">
        <is>
          <t>R9</t>
        </is>
      </c>
      <c r="B61" s="8" t="inlineStr">
        <is>
          <t>Leak check: PSS growth over 10 open/close cycles of Watchlist tab &gt; Bench 20</t>
        </is>
      </c>
      <c r="C61" s="8" t="inlineStr">
        <is>
          <t>MB</t>
        </is>
      </c>
      <c r="D61" s="8" t="inlineStr">
        <is>
          <t>RISE</t>
        </is>
      </c>
      <c r="E61" s="8" t="inlineStr">
        <is>
          <t>OPPO CPH3009</t>
        </is>
      </c>
      <c r="F61" s="41">
        <f>A61&amp;"|"&amp;D61&amp;"|"&amp;E61</f>
        <v/>
      </c>
      <c r="G61" s="63" t="n">
        <v>60</v>
      </c>
      <c r="H61" s="63" t="n"/>
      <c r="I61" s="63" t="n"/>
      <c r="J61" s="63" t="n"/>
      <c r="K61" s="63" t="n"/>
      <c r="L61" s="64">
        <f>IF(COUNT(G61:K61)=0,"",MEDIAN(G61:K61))</f>
        <v/>
      </c>
      <c r="M61" s="65">
        <f>IF(COUNT(G61:K61)=0,"",MIN(G61:K61))</f>
        <v/>
      </c>
      <c r="N61" s="65">
        <f>IF(COUNT(G61:K61)=0,"",MAX(G61:K61))</f>
        <v/>
      </c>
      <c r="O61" s="45">
        <f>IF(COUNT(G61:K61)&lt;2,"",IF(L61=0,"",(N61-M61)/L61))</f>
        <v/>
      </c>
      <c r="P61" s="5" t="inlineStr">
        <is>
          <t>10 cycles, manual; before=418.0 after=478.0; java=35.6;native=85.1;code=95.9;gfx=0.0;webviews=1</t>
        </is>
      </c>
    </row>
    <row r="62">
      <c r="A62" s="6" t="inlineStr">
        <is>
          <t>R9</t>
        </is>
      </c>
      <c r="B62" s="6" t="inlineStr">
        <is>
          <t>Leak check: PSS growth over 10 open/close cycles of Watchlist tab &gt; Bench 20</t>
        </is>
      </c>
      <c r="C62" s="6" t="inlineStr">
        <is>
          <t>MB</t>
        </is>
      </c>
      <c r="D62" s="6" t="inlineStr">
        <is>
          <t>Kite</t>
        </is>
      </c>
      <c r="E62" s="6" t="inlineStr">
        <is>
          <t>OPPO CPH3009</t>
        </is>
      </c>
      <c r="F62" s="41">
        <f>A62&amp;"|"&amp;D62&amp;"|"&amp;E62</f>
        <v/>
      </c>
      <c r="G62" s="63" t="n">
        <v>19.9</v>
      </c>
      <c r="H62" s="63" t="n"/>
      <c r="I62" s="63" t="n"/>
      <c r="J62" s="63" t="n"/>
      <c r="K62" s="63" t="n"/>
      <c r="L62" s="64">
        <f>IF(COUNT(G62:K62)=0,"",MEDIAN(G62:K62))</f>
        <v/>
      </c>
      <c r="M62" s="65">
        <f>IF(COUNT(G62:K62)=0,"",MIN(G62:K62))</f>
        <v/>
      </c>
      <c r="N62" s="65">
        <f>IF(COUNT(G62:K62)=0,"",MAX(G62:K62))</f>
        <v/>
      </c>
      <c r="O62" s="45">
        <f>IF(COUNT(G62:K62)&lt;2,"",IF(L62=0,"",(N62-M62)/L62))</f>
        <v/>
      </c>
      <c r="P62" s="5" t="inlineStr">
        <is>
          <t>10 cycles, manual; before=208.4 after=228.3; java=7.2;native=38.0;code=39.7;gfx=0.0;webviews=0</t>
        </is>
      </c>
    </row>
    <row r="63">
      <c r="A63" s="6" t="inlineStr">
        <is>
          <t>R9</t>
        </is>
      </c>
      <c r="B63" s="6" t="inlineStr">
        <is>
          <t>Leak check: PSS growth over 10 open/close cycles of Watchlist tab &gt; Bench 20</t>
        </is>
      </c>
      <c r="C63" s="6" t="inlineStr">
        <is>
          <t>MB</t>
        </is>
      </c>
      <c r="D63" s="6" t="inlineStr">
        <is>
          <t>Groww</t>
        </is>
      </c>
      <c r="E63" s="6" t="inlineStr">
        <is>
          <t>OPPO CPH3009</t>
        </is>
      </c>
      <c r="F63" s="41">
        <f>A63&amp;"|"&amp;D63&amp;"|"&amp;E63</f>
        <v/>
      </c>
      <c r="G63" s="63" t="n">
        <v>-0.1</v>
      </c>
      <c r="H63" s="63" t="n"/>
      <c r="I63" s="63" t="n"/>
      <c r="J63" s="63" t="n"/>
      <c r="K63" s="63" t="n"/>
      <c r="L63" s="64">
        <f>IF(COUNT(G63:K63)=0,"",MEDIAN(G63:K63))</f>
        <v/>
      </c>
      <c r="M63" s="65">
        <f>IF(COUNT(G63:K63)=0,"",MIN(G63:K63))</f>
        <v/>
      </c>
      <c r="N63" s="65">
        <f>IF(COUNT(G63:K63)=0,"",MAX(G63:K63))</f>
        <v/>
      </c>
      <c r="O63" s="45">
        <f>IF(COUNT(G63:K63)&lt;2,"",IF(L63=0,"",(N63-M63)/L63))</f>
        <v/>
      </c>
      <c r="P63" s="5" t="inlineStr">
        <is>
          <t>10 cycles, manual; before=282.4 after=282.3; java=34.0;native=110.5;code=101.2;gfx=0.0;webviews=0</t>
        </is>
      </c>
    </row>
    <row r="64">
      <c r="A64" s="6" t="inlineStr">
        <is>
          <t>R9</t>
        </is>
      </c>
      <c r="B64" s="6" t="inlineStr">
        <is>
          <t>Leak check: PSS growth over 10 open/close cycles of Watchlist tab &gt; Bench 20</t>
        </is>
      </c>
      <c r="C64" s="6" t="inlineStr">
        <is>
          <t>MB</t>
        </is>
      </c>
      <c r="D64" s="6" t="inlineStr">
        <is>
          <t>Angel One</t>
        </is>
      </c>
      <c r="E64" s="6" t="inlineStr">
        <is>
          <t>OPPO CPH3009</t>
        </is>
      </c>
      <c r="F64" s="41">
        <f>A64&amp;"|"&amp;D64&amp;"|"&amp;E64</f>
        <v/>
      </c>
      <c r="G64" s="63" t="n">
        <v>9.300000000000001</v>
      </c>
      <c r="H64" s="63" t="n"/>
      <c r="I64" s="63" t="n"/>
      <c r="J64" s="63" t="n"/>
      <c r="K64" s="63" t="n"/>
      <c r="L64" s="64">
        <f>IF(COUNT(G64:K64)=0,"",MEDIAN(G64:K64))</f>
        <v/>
      </c>
      <c r="M64" s="65">
        <f>IF(COUNT(G64:K64)=0,"",MIN(G64:K64))</f>
        <v/>
      </c>
      <c r="N64" s="65">
        <f>IF(COUNT(G64:K64)=0,"",MAX(G64:K64))</f>
        <v/>
      </c>
      <c r="O64" s="45">
        <f>IF(COUNT(G64:K64)&lt;2,"",IF(L64=0,"",(N64-M64)/L64))</f>
        <v/>
      </c>
      <c r="P64" s="5" t="inlineStr">
        <is>
          <t>10 cycles, manual; before=266.6 after=275.9; java=46.4;native=37.7;code=99.6;gfx=0.0;webviews=1</t>
        </is>
      </c>
    </row>
    <row r="65">
      <c r="A65" s="6" t="inlineStr">
        <is>
          <t>R9</t>
        </is>
      </c>
      <c r="B65" s="6" t="inlineStr">
        <is>
          <t>Leak check: PSS growth over 10 open/close cycles of Watchlist tab &gt; Bench 20</t>
        </is>
      </c>
      <c r="C65" s="6" t="inlineStr">
        <is>
          <t>MB</t>
        </is>
      </c>
      <c r="D65" s="6" t="inlineStr">
        <is>
          <t>INDmoney</t>
        </is>
      </c>
      <c r="E65" s="6" t="inlineStr">
        <is>
          <t>OPPO CPH3009</t>
        </is>
      </c>
      <c r="F65" s="41">
        <f>A65&amp;"|"&amp;D65&amp;"|"&amp;E65</f>
        <v/>
      </c>
      <c r="G65" s="63" t="n">
        <v>7.6</v>
      </c>
      <c r="H65" s="63" t="n"/>
      <c r="I65" s="63" t="n"/>
      <c r="J65" s="63" t="n"/>
      <c r="K65" s="63" t="n"/>
      <c r="L65" s="64">
        <f>IF(COUNT(G65:K65)=0,"",MEDIAN(G65:K65))</f>
        <v/>
      </c>
      <c r="M65" s="65">
        <f>IF(COUNT(G65:K65)=0,"",MIN(G65:K65))</f>
        <v/>
      </c>
      <c r="N65" s="65">
        <f>IF(COUNT(G65:K65)=0,"",MAX(G65:K65))</f>
        <v/>
      </c>
      <c r="O65" s="45">
        <f>IF(COUNT(G65:K65)&lt;2,"",IF(L65=0,"",(N65-M65)/L65))</f>
        <v/>
      </c>
      <c r="P65" s="5" t="inlineStr">
        <is>
          <t>10 cycles, manual; before=316.2 after=323.8; java=58.7;native=77.7;code=99.8;gfx=0.0;webviews=1</t>
        </is>
      </c>
    </row>
    <row r="66">
      <c r="A66" s="6" t="inlineStr">
        <is>
          <t>R9</t>
        </is>
      </c>
      <c r="B66" s="6" t="inlineStr">
        <is>
          <t>Leak check: PSS growth over 10 open/close cycles of Watchlist tab &gt; Bench 20</t>
        </is>
      </c>
      <c r="C66" s="6" t="inlineStr">
        <is>
          <t>MB</t>
        </is>
      </c>
      <c r="D66" s="6" t="inlineStr">
        <is>
          <t>Kotak Neo</t>
        </is>
      </c>
      <c r="E66" s="6" t="inlineStr">
        <is>
          <t>OPPO CPH3009</t>
        </is>
      </c>
      <c r="F66" s="41">
        <f>A66&amp;"|"&amp;D66&amp;"|"&amp;E66</f>
        <v/>
      </c>
      <c r="G66" s="63" t="n">
        <v>7</v>
      </c>
      <c r="H66" s="63" t="n"/>
      <c r="I66" s="63" t="n"/>
      <c r="J66" s="63" t="n"/>
      <c r="K66" s="63" t="n"/>
      <c r="L66" s="64">
        <f>IF(COUNT(G66:K66)=0,"",MEDIAN(G66:K66))</f>
        <v/>
      </c>
      <c r="M66" s="65">
        <f>IF(COUNT(G66:K66)=0,"",MIN(G66:K66))</f>
        <v/>
      </c>
      <c r="N66" s="65">
        <f>IF(COUNT(G66:K66)=0,"",MAX(G66:K66))</f>
        <v/>
      </c>
      <c r="O66" s="45">
        <f>IF(COUNT(G66:K66)&lt;2,"",IF(L66=0,"",(N66-M66)/L66))</f>
        <v/>
      </c>
      <c r="P66" s="5" t="inlineStr">
        <is>
          <t>10 cycles, manual; before=261.7 after=268.7; java=14.5;native=65.5;code=105.7;gfx=0.0;webviews=0</t>
        </is>
      </c>
    </row>
    <row r="67">
      <c r="A67" s="6" t="inlineStr">
        <is>
          <t>R9</t>
        </is>
      </c>
      <c r="B67" s="6" t="inlineStr">
        <is>
          <t>Leak check: PSS growth over 10 open/close cycles of Watchlist tab &gt; Bench 20</t>
        </is>
      </c>
      <c r="C67" s="6" t="inlineStr">
        <is>
          <t>MB</t>
        </is>
      </c>
      <c r="D67" s="6" t="inlineStr">
        <is>
          <t>SAHI</t>
        </is>
      </c>
      <c r="E67" s="6" t="inlineStr">
        <is>
          <t>OPPO CPH3009</t>
        </is>
      </c>
      <c r="F67" s="41">
        <f>A67&amp;"|"&amp;D67&amp;"|"&amp;E67</f>
        <v/>
      </c>
      <c r="G67" s="63" t="n">
        <v>11.8</v>
      </c>
      <c r="H67" s="63" t="n"/>
      <c r="I67" s="63" t="n"/>
      <c r="J67" s="63" t="n"/>
      <c r="K67" s="63" t="n"/>
      <c r="L67" s="64">
        <f>IF(COUNT(G67:K67)=0,"",MEDIAN(G67:K67))</f>
        <v/>
      </c>
      <c r="M67" s="65">
        <f>IF(COUNT(G67:K67)=0,"",MIN(G67:K67))</f>
        <v/>
      </c>
      <c r="N67" s="65">
        <f>IF(COUNT(G67:K67)=0,"",MAX(G67:K67))</f>
        <v/>
      </c>
      <c r="O67" s="45">
        <f>IF(COUNT(G67:K67)&lt;2,"",IF(L67=0,"",(N67-M67)/L67))</f>
        <v/>
      </c>
      <c r="P67" s="5" t="inlineStr">
        <is>
          <t>10 cycles, manual; before=308.2 after=320.0; java=11.2;native=94.7;code=88.7;gfx=0.0;webviews=0</t>
        </is>
      </c>
    </row>
  </sheetData>
  <autoFilter ref="A4:P67"/>
  <conditionalFormatting sqref="O5:O67">
    <cfRule type="cellIs" priority="1" operator="greaterThan" dxfId="4">
      <formula>0.2</formula>
    </cfRule>
  </conditionalFormatting>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H5 H6 H7 H8 H9 H10 H11 H12 H13 H14 H15 H16 H17 H18 H19 H20 H21 H22 H23 H24 H25 H26 H27 H28 H29 H30 H31 H32 H33 H34 H35 H36 H37 H38 H39 H40 H41 H42 H43 H44 H45 H46 H47 H48 H49 H50 H51 H52 H53 H54 H55 H56 H57 H58 H59 H60 H61 H62 H63 H64 H65 H66 H67 I5 I6 I7 I8 I9 I10 I11 I12 I13 I14 I15 I16 I17 I18 I19 I20 I21 I22 I23 I24 I25 I26 I27 I28 I29 I30 I31 I32 I33 I34 I35 I36 I37 I38 I39 I40 I41 I42 I43 I44 I45 I46 I47 I48 I49 I50 I51 I52 I53 I54 I55 I56 I57 I58 I59 I60 I61 I62 I63 I64 I65 I66 I67 J5 J6 J7 J8 J9 J10 J11 J12 J13 J14 J15 J16 J17 J18 J19 J20 J21 J22 J23 J24 J25 J26 J27 J28 J29 J30 J31 J32 J33 J34 J35 J36 J37 J38 J39 J40 J41 J42 J43 J44 J45 J46 J47 J48 J49 J50 J51 J52 J53 J54 J55 J56 J57 J58 J59 J60 J61 J62 J63 J64 J65 J66 J67 K5 K6 K7 K8 K9 K10 K11 K12 K13 K14 K15 K16 K17 K18 K19 K20 K21 K22 K23 K24 K25 K26 K27 K28 K29 K30 K31 K32 K33 K34 K35 K36 K37 K38 K39 K40 K41 K42 K43 K44 K45 K46 K47 K48 K49 K50 K51 K52 K53 K54 K55 K56 K57 K58 K59 K60 K61 K62 K63 K64 K65 K66 K67" showDropDown="0" showInputMessage="0" showErrorMessage="1" allowBlank="1" error="Enter a number (no units)." type="decimal" operator="greaterThanOrEqual">
      <formula1>0</formula1>
    </dataValidation>
  </dataValidations>
  <pageMargins left="0.75" right="0.75" top="1" bottom="1" header="0.5" footer="0.5"/>
</worksheet>
</file>

<file path=xl/worksheets/sheet13.xml><?xml version="1.0" encoding="utf-8"?>
<worksheet xmlns="http://schemas.openxmlformats.org/spreadsheetml/2006/main">
  <sheetPr>
    <tabColor rgb="00FFC000"/>
    <outlinePr summaryBelow="1" summaryRight="1"/>
    <pageSetUpPr/>
  </sheetPr>
  <dimension ref="A1:P32"/>
  <sheetViews>
    <sheetView showGridLines="0" workbookViewId="0">
      <pane xSplit="6" ySplit="4" topLeftCell="G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6" customWidth="1" min="2" max="2"/>
    <col width="7" customWidth="1" min="3" max="3"/>
    <col width="13" customWidth="1" min="4" max="4"/>
    <col width="22" customWidth="1" min="5" max="5"/>
    <col width="14" customWidth="1" min="6" max="6"/>
    <col width="9" customWidth="1" min="7" max="7"/>
    <col width="9" customWidth="1" min="8" max="8"/>
    <col width="9" customWidth="1" min="9" max="9"/>
    <col width="9" customWidth="1" min="10" max="10"/>
    <col width="9" customWidth="1" min="11" max="11"/>
    <col width="10" customWidth="1" min="12" max="12"/>
    <col width="9" customWidth="1" min="13" max="13"/>
    <col width="9" customWidth="1" min="14" max="14"/>
    <col width="10" customWidth="1" min="15" max="15"/>
    <col width="36" customWidth="1" min="16" max="16"/>
  </cols>
  <sheetData>
    <row r="1">
      <c r="A1" s="1" t="inlineStr">
        <is>
          <t>8 CPU Battery Data</t>
        </is>
      </c>
    </row>
    <row r="2">
      <c r="A2" s="2" t="inlineStr">
        <is>
          <t>CPU, battery, temperature and data use during a live session on Watchlist tab &gt; Bench 20 (market hours).</t>
        </is>
      </c>
    </row>
    <row r="4" ht="32" customHeight="1">
      <c r="A4" s="10" t="inlineStr">
        <is>
          <t>ID</t>
        </is>
      </c>
      <c r="B4" s="10" t="inlineStr">
        <is>
          <t>Metric</t>
        </is>
      </c>
      <c r="C4" s="10" t="inlineStr">
        <is>
          <t>Unit</t>
        </is>
      </c>
      <c r="D4" s="10" t="inlineStr">
        <is>
          <t>App</t>
        </is>
      </c>
      <c r="E4" s="10" t="inlineStr">
        <is>
          <t>Device</t>
        </is>
      </c>
      <c r="F4" s="10" t="inlineStr">
        <is>
          <t>Lookup key</t>
        </is>
      </c>
      <c r="G4" s="10" t="inlineStr">
        <is>
          <t>Run 1</t>
        </is>
      </c>
      <c r="H4" s="10" t="inlineStr">
        <is>
          <t>Run 2</t>
        </is>
      </c>
      <c r="I4" s="10" t="inlineStr">
        <is>
          <t>Run 3</t>
        </is>
      </c>
      <c r="J4" s="10" t="inlineStr">
        <is>
          <t>Run 4</t>
        </is>
      </c>
      <c r="K4" s="10" t="inlineStr">
        <is>
          <t>Run 5</t>
        </is>
      </c>
      <c r="L4" s="10" t="inlineStr">
        <is>
          <t>Median</t>
        </is>
      </c>
      <c r="M4" s="10" t="inlineStr">
        <is>
          <t>Min</t>
        </is>
      </c>
      <c r="N4" s="10" t="inlineStr">
        <is>
          <t>Max</t>
        </is>
      </c>
      <c r="O4" s="10" t="inlineStr">
        <is>
          <t>Variation</t>
        </is>
      </c>
      <c r="P4" s="10" t="inlineStr">
        <is>
          <t>Notes</t>
        </is>
      </c>
    </row>
    <row r="5">
      <c r="A5" s="8" t="inlineStr">
        <is>
          <t>C1</t>
        </is>
      </c>
      <c r="B5" s="8" t="inlineStr">
        <is>
          <t>Average CPU on Watchlist tab &gt; Bench 20 (live ticks, 15 min equivalent)</t>
        </is>
      </c>
      <c r="C5" s="8" t="inlineStr">
        <is>
          <t>%</t>
        </is>
      </c>
      <c r="D5" s="8" t="inlineStr">
        <is>
          <t>RISE</t>
        </is>
      </c>
      <c r="E5" s="8" t="inlineStr">
        <is>
          <t>OPPO CPH3009</t>
        </is>
      </c>
      <c r="F5" s="41">
        <f>A5&amp;"|"&amp;D5&amp;"|"&amp;E5</f>
        <v/>
      </c>
      <c r="G5" s="63" t="n">
        <v>110.5</v>
      </c>
      <c r="H5" s="63" t="n">
        <v>185.5</v>
      </c>
      <c r="I5" s="63" t="n">
        <v>188.7</v>
      </c>
      <c r="J5" s="63" t="n"/>
      <c r="K5" s="63" t="n"/>
      <c r="L5" s="64">
        <f>IF(COUNT(G5:K5)=0,"",MEDIAN(G5:K5))</f>
        <v/>
      </c>
      <c r="M5" s="65">
        <f>IF(COUNT(G5:K5)=0,"",MIN(G5:K5))</f>
        <v/>
      </c>
      <c r="N5" s="65">
        <f>IF(COUNT(G5:K5)=0,"",MAX(G5:K5))</f>
        <v/>
      </c>
      <c r="O5" s="45">
        <f>IF(COUNT(G5:K5)&lt;2,"",IF(L5=0,"",(N5-M5)/L5))</f>
        <v/>
      </c>
      <c r="P5" s="5" t="n"/>
    </row>
    <row r="6">
      <c r="A6" s="6" t="inlineStr">
        <is>
          <t>C1</t>
        </is>
      </c>
      <c r="B6" s="6" t="inlineStr">
        <is>
          <t>Average CPU on Watchlist tab &gt; Bench 20 (live ticks, 15 min equivalent)</t>
        </is>
      </c>
      <c r="C6" s="6" t="inlineStr">
        <is>
          <t>%</t>
        </is>
      </c>
      <c r="D6" s="6" t="inlineStr">
        <is>
          <t>Kite</t>
        </is>
      </c>
      <c r="E6" s="6" t="inlineStr">
        <is>
          <t>OPPO CPH3009</t>
        </is>
      </c>
      <c r="F6" s="41">
        <f>A6&amp;"|"&amp;D6&amp;"|"&amp;E6</f>
        <v/>
      </c>
      <c r="G6" s="63" t="n">
        <v>24.3</v>
      </c>
      <c r="H6" s="63" t="n">
        <v>22.4</v>
      </c>
      <c r="I6" s="63" t="n">
        <v>21.7</v>
      </c>
      <c r="J6" s="63" t="n"/>
      <c r="K6" s="63" t="n"/>
      <c r="L6" s="64">
        <f>IF(COUNT(G6:K6)=0,"",MEDIAN(G6:K6))</f>
        <v/>
      </c>
      <c r="M6" s="65">
        <f>IF(COUNT(G6:K6)=0,"",MIN(G6:K6))</f>
        <v/>
      </c>
      <c r="N6" s="65">
        <f>IF(COUNT(G6:K6)=0,"",MAX(G6:K6))</f>
        <v/>
      </c>
      <c r="O6" s="45">
        <f>IF(COUNT(G6:K6)&lt;2,"",IF(L6=0,"",(N6-M6)/L6))</f>
        <v/>
      </c>
      <c r="P6" s="5" t="n"/>
    </row>
    <row r="7">
      <c r="A7" s="6" t="inlineStr">
        <is>
          <t>C1</t>
        </is>
      </c>
      <c r="B7" s="6" t="inlineStr">
        <is>
          <t>Average CPU on Watchlist tab &gt; Bench 20 (live ticks, 15 min equivalent)</t>
        </is>
      </c>
      <c r="C7" s="6" t="inlineStr">
        <is>
          <t>%</t>
        </is>
      </c>
      <c r="D7" s="6" t="inlineStr">
        <is>
          <t>Groww</t>
        </is>
      </c>
      <c r="E7" s="6" t="inlineStr">
        <is>
          <t>OPPO CPH3009</t>
        </is>
      </c>
      <c r="F7" s="41">
        <f>A7&amp;"|"&amp;D7&amp;"|"&amp;E7</f>
        <v/>
      </c>
      <c r="G7" s="63" t="n">
        <v>153.5</v>
      </c>
      <c r="H7" s="63" t="n">
        <v>156.5</v>
      </c>
      <c r="I7" s="63" t="n">
        <v>155.4</v>
      </c>
      <c r="J7" s="63" t="n"/>
      <c r="K7" s="63" t="n"/>
      <c r="L7" s="64">
        <f>IF(COUNT(G7:K7)=0,"",MEDIAN(G7:K7))</f>
        <v/>
      </c>
      <c r="M7" s="65">
        <f>IF(COUNT(G7:K7)=0,"",MIN(G7:K7))</f>
        <v/>
      </c>
      <c r="N7" s="65">
        <f>IF(COUNT(G7:K7)=0,"",MAX(G7:K7))</f>
        <v/>
      </c>
      <c r="O7" s="45">
        <f>IF(COUNT(G7:K7)&lt;2,"",IF(L7=0,"",(N7-M7)/L7))</f>
        <v/>
      </c>
      <c r="P7" s="5" t="n"/>
    </row>
    <row r="8">
      <c r="A8" s="6" t="inlineStr">
        <is>
          <t>C1</t>
        </is>
      </c>
      <c r="B8" s="6" t="inlineStr">
        <is>
          <t>Average CPU on Watchlist tab &gt; Bench 20 (live ticks, 15 min equivalent)</t>
        </is>
      </c>
      <c r="C8" s="6" t="inlineStr">
        <is>
          <t>%</t>
        </is>
      </c>
      <c r="D8" s="6" t="inlineStr">
        <is>
          <t>Angel One</t>
        </is>
      </c>
      <c r="E8" s="6" t="inlineStr">
        <is>
          <t>OPPO CPH3009</t>
        </is>
      </c>
      <c r="F8" s="41">
        <f>A8&amp;"|"&amp;D8&amp;"|"&amp;E8</f>
        <v/>
      </c>
      <c r="G8" s="63" t="n">
        <v>68.09999999999999</v>
      </c>
      <c r="H8" s="63" t="n">
        <v>66</v>
      </c>
      <c r="I8" s="63" t="n">
        <v>67.90000000000001</v>
      </c>
      <c r="J8" s="63" t="n"/>
      <c r="K8" s="63" t="n"/>
      <c r="L8" s="64">
        <f>IF(COUNT(G8:K8)=0,"",MEDIAN(G8:K8))</f>
        <v/>
      </c>
      <c r="M8" s="65">
        <f>IF(COUNT(G8:K8)=0,"",MIN(G8:K8))</f>
        <v/>
      </c>
      <c r="N8" s="65">
        <f>IF(COUNT(G8:K8)=0,"",MAX(G8:K8))</f>
        <v/>
      </c>
      <c r="O8" s="45">
        <f>IF(COUNT(G8:K8)&lt;2,"",IF(L8=0,"",(N8-M8)/L8))</f>
        <v/>
      </c>
      <c r="P8" s="5" t="n"/>
    </row>
    <row r="9">
      <c r="A9" s="6" t="inlineStr">
        <is>
          <t>C1</t>
        </is>
      </c>
      <c r="B9" s="6" t="inlineStr">
        <is>
          <t>Average CPU on Watchlist tab &gt; Bench 20 (live ticks, 15 min equivalent)</t>
        </is>
      </c>
      <c r="C9" s="6" t="inlineStr">
        <is>
          <t>%</t>
        </is>
      </c>
      <c r="D9" s="6" t="inlineStr">
        <is>
          <t>INDmoney</t>
        </is>
      </c>
      <c r="E9" s="6" t="inlineStr">
        <is>
          <t>OPPO CPH3009</t>
        </is>
      </c>
      <c r="F9" s="41">
        <f>A9&amp;"|"&amp;D9&amp;"|"&amp;E9</f>
        <v/>
      </c>
      <c r="G9" s="63" t="n">
        <v>42.7</v>
      </c>
      <c r="H9" s="63" t="n">
        <v>41.8</v>
      </c>
      <c r="I9" s="63" t="n">
        <v>40.3</v>
      </c>
      <c r="J9" s="63" t="n"/>
      <c r="K9" s="63" t="n"/>
      <c r="L9" s="64">
        <f>IF(COUNT(G9:K9)=0,"",MEDIAN(G9:K9))</f>
        <v/>
      </c>
      <c r="M9" s="65">
        <f>IF(COUNT(G9:K9)=0,"",MIN(G9:K9))</f>
        <v/>
      </c>
      <c r="N9" s="65">
        <f>IF(COUNT(G9:K9)=0,"",MAX(G9:K9))</f>
        <v/>
      </c>
      <c r="O9" s="45">
        <f>IF(COUNT(G9:K9)&lt;2,"",IF(L9=0,"",(N9-M9)/L9))</f>
        <v/>
      </c>
      <c r="P9" s="5" t="n"/>
    </row>
    <row r="10">
      <c r="A10" s="6" t="inlineStr">
        <is>
          <t>C1</t>
        </is>
      </c>
      <c r="B10" s="6" t="inlineStr">
        <is>
          <t>Average CPU on Watchlist tab &gt; Bench 20 (live ticks, 15 min equivalent)</t>
        </is>
      </c>
      <c r="C10" s="6" t="inlineStr">
        <is>
          <t>%</t>
        </is>
      </c>
      <c r="D10" s="6" t="inlineStr">
        <is>
          <t>Kotak Neo</t>
        </is>
      </c>
      <c r="E10" s="6" t="inlineStr">
        <is>
          <t>OPPO CPH3009</t>
        </is>
      </c>
      <c r="F10" s="41">
        <f>A10&amp;"|"&amp;D10&amp;"|"&amp;E10</f>
        <v/>
      </c>
      <c r="G10" s="63" t="n">
        <v>37.8</v>
      </c>
      <c r="H10" s="63" t="n">
        <v>24.1</v>
      </c>
      <c r="I10" s="63" t="n">
        <v>26</v>
      </c>
      <c r="J10" s="63" t="n"/>
      <c r="K10" s="63" t="n"/>
      <c r="L10" s="64">
        <f>IF(COUNT(G10:K10)=0,"",MEDIAN(G10:K10))</f>
        <v/>
      </c>
      <c r="M10" s="65">
        <f>IF(COUNT(G10:K10)=0,"",MIN(G10:K10))</f>
        <v/>
      </c>
      <c r="N10" s="65">
        <f>IF(COUNT(G10:K10)=0,"",MAX(G10:K10))</f>
        <v/>
      </c>
      <c r="O10" s="45">
        <f>IF(COUNT(G10:K10)&lt;2,"",IF(L10=0,"",(N10-M10)/L10))</f>
        <v/>
      </c>
      <c r="P10" s="5" t="n"/>
    </row>
    <row r="11">
      <c r="A11" s="6" t="inlineStr">
        <is>
          <t>C1</t>
        </is>
      </c>
      <c r="B11" s="6" t="inlineStr">
        <is>
          <t>Average CPU on Watchlist tab &gt; Bench 20 (live ticks, 15 min equivalent)</t>
        </is>
      </c>
      <c r="C11" s="6" t="inlineStr">
        <is>
          <t>%</t>
        </is>
      </c>
      <c r="D11" s="6" t="inlineStr">
        <is>
          <t>SAHI</t>
        </is>
      </c>
      <c r="E11" s="6" t="inlineStr">
        <is>
          <t>OPPO CPH3009</t>
        </is>
      </c>
      <c r="F11" s="41">
        <f>A11&amp;"|"&amp;D11&amp;"|"&amp;E11</f>
        <v/>
      </c>
      <c r="G11" s="63" t="n">
        <v>134.2</v>
      </c>
      <c r="H11" s="63" t="n">
        <v>133.7</v>
      </c>
      <c r="I11" s="63" t="n">
        <v>121.1</v>
      </c>
      <c r="J11" s="63" t="n"/>
      <c r="K11" s="63" t="n"/>
      <c r="L11" s="64">
        <f>IF(COUNT(G11:K11)=0,"",MEDIAN(G11:K11))</f>
        <v/>
      </c>
      <c r="M11" s="65">
        <f>IF(COUNT(G11:K11)=0,"",MIN(G11:K11))</f>
        <v/>
      </c>
      <c r="N11" s="65">
        <f>IF(COUNT(G11:K11)=0,"",MAX(G11:K11))</f>
        <v/>
      </c>
      <c r="O11" s="45">
        <f>IF(COUNT(G11:K11)&lt;2,"",IF(L11=0,"",(N11-M11)/L11))</f>
        <v/>
      </c>
      <c r="P11" s="5" t="n"/>
    </row>
    <row r="12">
      <c r="A12" s="8" t="inlineStr">
        <is>
          <t>C2</t>
        </is>
      </c>
      <c r="B12" s="8" t="inlineStr">
        <is>
          <t>Battery drain – 15 min on Watchlist tab &gt; Bench 20</t>
        </is>
      </c>
      <c r="C12" s="8" t="inlineStr">
        <is>
          <t>mAh</t>
        </is>
      </c>
      <c r="D12" s="8" t="inlineStr">
        <is>
          <t>RISE</t>
        </is>
      </c>
      <c r="E12" s="8" t="inlineStr">
        <is>
          <t>OPPO CPH3009</t>
        </is>
      </c>
      <c r="F12" s="41">
        <f>A12&amp;"|"&amp;D12&amp;"|"&amp;E12</f>
        <v/>
      </c>
      <c r="G12" s="63" t="n">
        <v>89.25</v>
      </c>
      <c r="H12" s="63" t="n">
        <v>70.05</v>
      </c>
      <c r="I12" s="63" t="n">
        <v>76.5</v>
      </c>
      <c r="J12" s="63" t="n"/>
      <c r="K12" s="63" t="n"/>
      <c r="L12" s="64">
        <f>IF(COUNT(G12:K12)=0,"",MEDIAN(G12:K12))</f>
        <v/>
      </c>
      <c r="M12" s="65">
        <f>IF(COUNT(G12:K12)=0,"",MIN(G12:K12))</f>
        <v/>
      </c>
      <c r="N12" s="65">
        <f>IF(COUNT(G12:K12)=0,"",MAX(G12:K12))</f>
        <v/>
      </c>
      <c r="O12" s="45">
        <f>IF(COUNT(G12:K12)&lt;2,"",IF(L12=0,"",(N12-M12)/L12))</f>
        <v/>
      </c>
      <c r="P12" s="5" t="inlineStr">
        <is>
          <t>scaled ×1.50 from 10 min | scaled ×7.50 from 2 min</t>
        </is>
      </c>
    </row>
    <row r="13">
      <c r="A13" s="46" t="inlineStr">
        <is>
          <t>C2</t>
        </is>
      </c>
      <c r="B13" s="46" t="inlineStr">
        <is>
          <t>Battery drain – 15 min on Watchlist tab &gt; Bench 20</t>
        </is>
      </c>
      <c r="C13" s="46" t="inlineStr">
        <is>
          <t>mAh</t>
        </is>
      </c>
      <c r="D13" s="46" t="inlineStr">
        <is>
          <t>Kite</t>
        </is>
      </c>
      <c r="E13" s="46" t="inlineStr">
        <is>
          <t>OPPO CPH3009</t>
        </is>
      </c>
      <c r="F13" s="41">
        <f>A13&amp;"|"&amp;D13&amp;"|"&amp;E13</f>
        <v/>
      </c>
      <c r="G13" s="63" t="n">
        <v>74.25</v>
      </c>
      <c r="H13" s="63" t="n">
        <v>70.88</v>
      </c>
      <c r="I13" s="63" t="n">
        <v>62.17</v>
      </c>
      <c r="J13" s="63" t="n"/>
      <c r="K13" s="63" t="n"/>
      <c r="L13" s="64">
        <f>IF(COUNT(G13:K13)=0,"",MEDIAN(G13:K13))</f>
        <v/>
      </c>
      <c r="M13" s="65">
        <f>IF(COUNT(G13:K13)=0,"",MIN(G13:K13))</f>
        <v/>
      </c>
      <c r="N13" s="65">
        <f>IF(COUNT(G13:K13)=0,"",MAX(G13:K13))</f>
        <v/>
      </c>
      <c r="O13" s="45">
        <f>IF(COUNT(G13:K13)&lt;2,"",IF(L13=0,"",(N13-M13)/L13))</f>
        <v/>
      </c>
      <c r="P13" s="5" t="inlineStr">
        <is>
          <t>scaled ×1.50 from 10 min | scaled ×7.50 from 2 min</t>
        </is>
      </c>
    </row>
    <row r="14">
      <c r="A14" s="46" t="inlineStr">
        <is>
          <t>C2</t>
        </is>
      </c>
      <c r="B14" s="46" t="inlineStr">
        <is>
          <t>Battery drain – 15 min on Watchlist tab &gt; Bench 20</t>
        </is>
      </c>
      <c r="C14" s="46" t="inlineStr">
        <is>
          <t>mAh</t>
        </is>
      </c>
      <c r="D14" s="46" t="inlineStr">
        <is>
          <t>Groww</t>
        </is>
      </c>
      <c r="E14" s="46" t="inlineStr">
        <is>
          <t>OPPO CPH3009</t>
        </is>
      </c>
      <c r="F14" s="41">
        <f>A14&amp;"|"&amp;D14&amp;"|"&amp;E14</f>
        <v/>
      </c>
      <c r="G14" s="63" t="n">
        <v>79.65000000000001</v>
      </c>
      <c r="H14" s="63" t="n">
        <v>81</v>
      </c>
      <c r="I14" s="63" t="n">
        <v>67.65000000000001</v>
      </c>
      <c r="J14" s="63" t="n"/>
      <c r="K14" s="63" t="n"/>
      <c r="L14" s="64">
        <f>IF(COUNT(G14:K14)=0,"",MEDIAN(G14:K14))</f>
        <v/>
      </c>
      <c r="M14" s="65">
        <f>IF(COUNT(G14:K14)=0,"",MIN(G14:K14))</f>
        <v/>
      </c>
      <c r="N14" s="65">
        <f>IF(COUNT(G14:K14)=0,"",MAX(G14:K14))</f>
        <v/>
      </c>
      <c r="O14" s="45">
        <f>IF(COUNT(G14:K14)&lt;2,"",IF(L14=0,"",(N14-M14)/L14))</f>
        <v/>
      </c>
      <c r="P14" s="5" t="inlineStr">
        <is>
          <t>scaled ×1.50 from 10 min | scaled ×7.50 from 2 min</t>
        </is>
      </c>
    </row>
    <row r="15">
      <c r="A15" s="46" t="inlineStr">
        <is>
          <t>C2</t>
        </is>
      </c>
      <c r="B15" s="46" t="inlineStr">
        <is>
          <t>Battery drain – 15 min on Watchlist tab &gt; Bench 20</t>
        </is>
      </c>
      <c r="C15" s="46" t="inlineStr">
        <is>
          <t>mAh</t>
        </is>
      </c>
      <c r="D15" s="46" t="inlineStr">
        <is>
          <t>Angel One</t>
        </is>
      </c>
      <c r="E15" s="46" t="inlineStr">
        <is>
          <t>OPPO CPH3009</t>
        </is>
      </c>
      <c r="F15" s="41">
        <f>A15&amp;"|"&amp;D15&amp;"|"&amp;E15</f>
        <v/>
      </c>
      <c r="G15" s="63" t="n">
        <v>79.34999999999999</v>
      </c>
      <c r="H15" s="63" t="n">
        <v>74.18000000000001</v>
      </c>
      <c r="I15" s="63" t="n">
        <v>63.3</v>
      </c>
      <c r="J15" s="63" t="n"/>
      <c r="K15" s="63" t="n"/>
      <c r="L15" s="64">
        <f>IF(COUNT(G15:K15)=0,"",MEDIAN(G15:K15))</f>
        <v/>
      </c>
      <c r="M15" s="65">
        <f>IF(COUNT(G15:K15)=0,"",MIN(G15:K15))</f>
        <v/>
      </c>
      <c r="N15" s="65">
        <f>IF(COUNT(G15:K15)=0,"",MAX(G15:K15))</f>
        <v/>
      </c>
      <c r="O15" s="45">
        <f>IF(COUNT(G15:K15)&lt;2,"",IF(L15=0,"",(N15-M15)/L15))</f>
        <v/>
      </c>
      <c r="P15" s="5" t="inlineStr">
        <is>
          <t>scaled ×1.50 from 10 min | scaled ×7.50 from 2 min</t>
        </is>
      </c>
    </row>
    <row r="16">
      <c r="A16" s="46" t="inlineStr">
        <is>
          <t>C2</t>
        </is>
      </c>
      <c r="B16" s="46" t="inlineStr">
        <is>
          <t>Battery drain – 15 min on Watchlist tab &gt; Bench 20</t>
        </is>
      </c>
      <c r="C16" s="46" t="inlineStr">
        <is>
          <t>mAh</t>
        </is>
      </c>
      <c r="D16" s="46" t="inlineStr">
        <is>
          <t>INDmoney</t>
        </is>
      </c>
      <c r="E16" s="46" t="inlineStr">
        <is>
          <t>OPPO CPH3009</t>
        </is>
      </c>
      <c r="F16" s="41">
        <f>A16&amp;"|"&amp;D16&amp;"|"&amp;E16</f>
        <v/>
      </c>
      <c r="G16" s="63" t="n">
        <v>75</v>
      </c>
      <c r="H16" s="63" t="n">
        <v>62.77</v>
      </c>
      <c r="I16" s="63" t="n">
        <v>62.77</v>
      </c>
      <c r="J16" s="63" t="n"/>
      <c r="K16" s="63" t="n"/>
      <c r="L16" s="64">
        <f>IF(COUNT(G16:K16)=0,"",MEDIAN(G16:K16))</f>
        <v/>
      </c>
      <c r="M16" s="65">
        <f>IF(COUNT(G16:K16)=0,"",MIN(G16:K16))</f>
        <v/>
      </c>
      <c r="N16" s="65">
        <f>IF(COUNT(G16:K16)=0,"",MAX(G16:K16))</f>
        <v/>
      </c>
      <c r="O16" s="45">
        <f>IF(COUNT(G16:K16)&lt;2,"",IF(L16=0,"",(N16-M16)/L16))</f>
        <v/>
      </c>
      <c r="P16" s="5" t="inlineStr">
        <is>
          <t>scaled ×1.50 from 10 min | scaled ×7.50 from 2 min</t>
        </is>
      </c>
    </row>
    <row r="17">
      <c r="A17" s="46" t="inlineStr">
        <is>
          <t>C2</t>
        </is>
      </c>
      <c r="B17" s="46" t="inlineStr">
        <is>
          <t>Battery drain – 15 min on Watchlist tab &gt; Bench 20</t>
        </is>
      </c>
      <c r="C17" s="46" t="inlineStr">
        <is>
          <t>mAh</t>
        </is>
      </c>
      <c r="D17" s="46" t="inlineStr">
        <is>
          <t>Kotak Neo</t>
        </is>
      </c>
      <c r="E17" s="46" t="inlineStr">
        <is>
          <t>OPPO CPH3009</t>
        </is>
      </c>
      <c r="F17" s="41">
        <f>A17&amp;"|"&amp;D17&amp;"|"&amp;E17</f>
        <v/>
      </c>
      <c r="G17" s="63" t="n">
        <v>70.34999999999999</v>
      </c>
      <c r="H17" s="63" t="n">
        <v>62.4</v>
      </c>
      <c r="I17" s="63" t="n">
        <v>62.4</v>
      </c>
      <c r="J17" s="63" t="n"/>
      <c r="K17" s="63" t="n"/>
      <c r="L17" s="64">
        <f>IF(COUNT(G17:K17)=0,"",MEDIAN(G17:K17))</f>
        <v/>
      </c>
      <c r="M17" s="65">
        <f>IF(COUNT(G17:K17)=0,"",MIN(G17:K17))</f>
        <v/>
      </c>
      <c r="N17" s="65">
        <f>IF(COUNT(G17:K17)=0,"",MAX(G17:K17))</f>
        <v/>
      </c>
      <c r="O17" s="45">
        <f>IF(COUNT(G17:K17)&lt;2,"",IF(L17=0,"",(N17-M17)/L17))</f>
        <v/>
      </c>
      <c r="P17" s="5" t="inlineStr">
        <is>
          <t>scaled ×1.50 from 10 min | scaled ×7.50 from 2 min</t>
        </is>
      </c>
    </row>
    <row r="18">
      <c r="A18" s="46" t="inlineStr">
        <is>
          <t>C2</t>
        </is>
      </c>
      <c r="B18" s="46" t="inlineStr">
        <is>
          <t>Battery drain – 15 min on Watchlist tab &gt; Bench 20</t>
        </is>
      </c>
      <c r="C18" s="46" t="inlineStr">
        <is>
          <t>mAh</t>
        </is>
      </c>
      <c r="D18" s="46" t="inlineStr">
        <is>
          <t>SAHI</t>
        </is>
      </c>
      <c r="E18" s="46" t="inlineStr">
        <is>
          <t>OPPO CPH3009</t>
        </is>
      </c>
      <c r="F18" s="41">
        <f>A18&amp;"|"&amp;D18&amp;"|"&amp;E18</f>
        <v/>
      </c>
      <c r="G18" s="63" t="n">
        <v>76.65000000000001</v>
      </c>
      <c r="H18" s="63" t="n">
        <v>65.40000000000001</v>
      </c>
      <c r="I18" s="63" t="n">
        <v>66.68000000000001</v>
      </c>
      <c r="J18" s="63" t="n"/>
      <c r="K18" s="63" t="n"/>
      <c r="L18" s="64">
        <f>IF(COUNT(G18:K18)=0,"",MEDIAN(G18:K18))</f>
        <v/>
      </c>
      <c r="M18" s="65">
        <f>IF(COUNT(G18:K18)=0,"",MIN(G18:K18))</f>
        <v/>
      </c>
      <c r="N18" s="65">
        <f>IF(COUNT(G18:K18)=0,"",MAX(G18:K18))</f>
        <v/>
      </c>
      <c r="O18" s="45">
        <f>IF(COUNT(G18:K18)&lt;2,"",IF(L18=0,"",(N18-M18)/L18))</f>
        <v/>
      </c>
      <c r="P18" s="5" t="inlineStr">
        <is>
          <t>scaled ×1.50 from 10 min | scaled ×7.50 from 2 min</t>
        </is>
      </c>
    </row>
    <row r="19">
      <c r="A19" s="8" t="inlineStr">
        <is>
          <t>C3</t>
        </is>
      </c>
      <c r="B19" s="8" t="inlineStr">
        <is>
          <t>Device temperature rise – session on Watchlist tab &gt; Bench 20</t>
        </is>
      </c>
      <c r="C19" s="8" t="inlineStr">
        <is>
          <t>°C</t>
        </is>
      </c>
      <c r="D19" s="8" t="inlineStr">
        <is>
          <t>RISE</t>
        </is>
      </c>
      <c r="E19" s="8" t="inlineStr">
        <is>
          <t>OPPO CPH3009</t>
        </is>
      </c>
      <c r="F19" s="41">
        <f>A19&amp;"|"&amp;D19&amp;"|"&amp;E19</f>
        <v/>
      </c>
      <c r="G19" s="63" t="n">
        <v>-0.7</v>
      </c>
      <c r="H19" s="63" t="n">
        <v>-1.3</v>
      </c>
      <c r="I19" s="63" t="n">
        <v>-0.8</v>
      </c>
      <c r="J19" s="63" t="n"/>
      <c r="K19" s="63" t="n"/>
      <c r="L19" s="64">
        <f>IF(COUNT(G19:K19)=0,"",MEDIAN(G19:K19))</f>
        <v/>
      </c>
      <c r="M19" s="65">
        <f>IF(COUNT(G19:K19)=0,"",MIN(G19:K19))</f>
        <v/>
      </c>
      <c r="N19" s="65">
        <f>IF(COUNT(G19:K19)=0,"",MAX(G19:K19))</f>
        <v/>
      </c>
      <c r="O19" s="45">
        <f>IF(COUNT(G19:K19)&lt;2,"",IF(L19=0,"",(N19-M19)/L19))</f>
        <v/>
      </c>
      <c r="P19" s="5" t="inlineStr">
        <is>
          <t>SKIN over 10 min, not scaled | SKIN over 2 min, not scaled</t>
        </is>
      </c>
    </row>
    <row r="20">
      <c r="A20" s="6" t="inlineStr">
        <is>
          <t>C3</t>
        </is>
      </c>
      <c r="B20" s="6" t="inlineStr">
        <is>
          <t>Device temperature rise – session on Watchlist tab &gt; Bench 20</t>
        </is>
      </c>
      <c r="C20" s="6" t="inlineStr">
        <is>
          <t>°C</t>
        </is>
      </c>
      <c r="D20" s="6" t="inlineStr">
        <is>
          <t>Kite</t>
        </is>
      </c>
      <c r="E20" s="6" t="inlineStr">
        <is>
          <t>OPPO CPH3009</t>
        </is>
      </c>
      <c r="F20" s="41">
        <f>A20&amp;"|"&amp;D20&amp;"|"&amp;E20</f>
        <v/>
      </c>
      <c r="G20" s="63" t="n">
        <v>-1.3</v>
      </c>
      <c r="H20" s="63" t="n">
        <v>-0.6</v>
      </c>
      <c r="I20" s="63" t="n">
        <v>0.2</v>
      </c>
      <c r="J20" s="63" t="n"/>
      <c r="K20" s="63" t="n"/>
      <c r="L20" s="64">
        <f>IF(COUNT(G20:K20)=0,"",MEDIAN(G20:K20))</f>
        <v/>
      </c>
      <c r="M20" s="65">
        <f>IF(COUNT(G20:K20)=0,"",MIN(G20:K20))</f>
        <v/>
      </c>
      <c r="N20" s="65">
        <f>IF(COUNT(G20:K20)=0,"",MAX(G20:K20))</f>
        <v/>
      </c>
      <c r="O20" s="45">
        <f>IF(COUNT(G20:K20)&lt;2,"",IF(L20=0,"",(N20-M20)/L20))</f>
        <v/>
      </c>
      <c r="P20" s="5" t="inlineStr">
        <is>
          <t>SKIN over 10 min, not scaled | SKIN over 2 min, not scaled</t>
        </is>
      </c>
    </row>
    <row r="21">
      <c r="A21" s="6" t="inlineStr">
        <is>
          <t>C3</t>
        </is>
      </c>
      <c r="B21" s="6" t="inlineStr">
        <is>
          <t>Device temperature rise – session on Watchlist tab &gt; Bench 20</t>
        </is>
      </c>
      <c r="C21" s="6" t="inlineStr">
        <is>
          <t>°C</t>
        </is>
      </c>
      <c r="D21" s="6" t="inlineStr">
        <is>
          <t>Groww</t>
        </is>
      </c>
      <c r="E21" s="6" t="inlineStr">
        <is>
          <t>OPPO CPH3009</t>
        </is>
      </c>
      <c r="F21" s="41">
        <f>A21&amp;"|"&amp;D21&amp;"|"&amp;E21</f>
        <v/>
      </c>
      <c r="G21" s="63" t="n">
        <v>0.1</v>
      </c>
      <c r="H21" s="63" t="n">
        <v>-0.7</v>
      </c>
      <c r="I21" s="63" t="n">
        <v>-0.7</v>
      </c>
      <c r="J21" s="63" t="n"/>
      <c r="K21" s="63" t="n"/>
      <c r="L21" s="64">
        <f>IF(COUNT(G21:K21)=0,"",MEDIAN(G21:K21))</f>
        <v/>
      </c>
      <c r="M21" s="65">
        <f>IF(COUNT(G21:K21)=0,"",MIN(G21:K21))</f>
        <v/>
      </c>
      <c r="N21" s="65">
        <f>IF(COUNT(G21:K21)=0,"",MAX(G21:K21))</f>
        <v/>
      </c>
      <c r="O21" s="45">
        <f>IF(COUNT(G21:K21)&lt;2,"",IF(L21=0,"",(N21-M21)/L21))</f>
        <v/>
      </c>
      <c r="P21" s="5" t="inlineStr">
        <is>
          <t>SKIN over 10 min, not scaled | SKIN over 2 min, not scaled</t>
        </is>
      </c>
    </row>
    <row r="22">
      <c r="A22" s="6" t="inlineStr">
        <is>
          <t>C3</t>
        </is>
      </c>
      <c r="B22" s="6" t="inlineStr">
        <is>
          <t>Device temperature rise – session on Watchlist tab &gt; Bench 20</t>
        </is>
      </c>
      <c r="C22" s="6" t="inlineStr">
        <is>
          <t>°C</t>
        </is>
      </c>
      <c r="D22" s="6" t="inlineStr">
        <is>
          <t>Angel One</t>
        </is>
      </c>
      <c r="E22" s="6" t="inlineStr">
        <is>
          <t>OPPO CPH3009</t>
        </is>
      </c>
      <c r="F22" s="41">
        <f>A22&amp;"|"&amp;D22&amp;"|"&amp;E22</f>
        <v/>
      </c>
      <c r="G22" s="63" t="n">
        <v>-1.1</v>
      </c>
      <c r="H22" s="63" t="n">
        <v>-0.5</v>
      </c>
      <c r="I22" s="63" t="n">
        <v>-0.7</v>
      </c>
      <c r="J22" s="63" t="n"/>
      <c r="K22" s="63" t="n"/>
      <c r="L22" s="64">
        <f>IF(COUNT(G22:K22)=0,"",MEDIAN(G22:K22))</f>
        <v/>
      </c>
      <c r="M22" s="65">
        <f>IF(COUNT(G22:K22)=0,"",MIN(G22:K22))</f>
        <v/>
      </c>
      <c r="N22" s="65">
        <f>IF(COUNT(G22:K22)=0,"",MAX(G22:K22))</f>
        <v/>
      </c>
      <c r="O22" s="45">
        <f>IF(COUNT(G22:K22)&lt;2,"",IF(L22=0,"",(N22-M22)/L22))</f>
        <v/>
      </c>
      <c r="P22" s="5" t="inlineStr">
        <is>
          <t>SKIN over 10 min, not scaled | SKIN over 2 min, not scaled</t>
        </is>
      </c>
    </row>
    <row r="23">
      <c r="A23" s="6" t="inlineStr">
        <is>
          <t>C3</t>
        </is>
      </c>
      <c r="B23" s="6" t="inlineStr">
        <is>
          <t>Device temperature rise – session on Watchlist tab &gt; Bench 20</t>
        </is>
      </c>
      <c r="C23" s="6" t="inlineStr">
        <is>
          <t>°C</t>
        </is>
      </c>
      <c r="D23" s="6" t="inlineStr">
        <is>
          <t>INDmoney</t>
        </is>
      </c>
      <c r="E23" s="6" t="inlineStr">
        <is>
          <t>OPPO CPH3009</t>
        </is>
      </c>
      <c r="F23" s="41">
        <f>A23&amp;"|"&amp;D23&amp;"|"&amp;E23</f>
        <v/>
      </c>
      <c r="G23" s="63" t="n">
        <v>-0.5</v>
      </c>
      <c r="H23" s="63" t="n">
        <v>-0.3</v>
      </c>
      <c r="I23" s="63" t="n">
        <v>-0.4</v>
      </c>
      <c r="J23" s="63" t="n"/>
      <c r="K23" s="63" t="n"/>
      <c r="L23" s="64">
        <f>IF(COUNT(G23:K23)=0,"",MEDIAN(G23:K23))</f>
        <v/>
      </c>
      <c r="M23" s="65">
        <f>IF(COUNT(G23:K23)=0,"",MIN(G23:K23))</f>
        <v/>
      </c>
      <c r="N23" s="65">
        <f>IF(COUNT(G23:K23)=0,"",MAX(G23:K23))</f>
        <v/>
      </c>
      <c r="O23" s="45">
        <f>IF(COUNT(G23:K23)&lt;2,"",IF(L23=0,"",(N23-M23)/L23))</f>
        <v/>
      </c>
      <c r="P23" s="5" t="inlineStr">
        <is>
          <t>SKIN over 10 min, not scaled | SKIN over 2 min, not scaled</t>
        </is>
      </c>
    </row>
    <row r="24">
      <c r="A24" s="6" t="inlineStr">
        <is>
          <t>C3</t>
        </is>
      </c>
      <c r="B24" s="6" t="inlineStr">
        <is>
          <t>Device temperature rise – session on Watchlist tab &gt; Bench 20</t>
        </is>
      </c>
      <c r="C24" s="6" t="inlineStr">
        <is>
          <t>°C</t>
        </is>
      </c>
      <c r="D24" s="6" t="inlineStr">
        <is>
          <t>Kotak Neo</t>
        </is>
      </c>
      <c r="E24" s="6" t="inlineStr">
        <is>
          <t>OPPO CPH3009</t>
        </is>
      </c>
      <c r="F24" s="41">
        <f>A24&amp;"|"&amp;D24&amp;"|"&amp;E24</f>
        <v/>
      </c>
      <c r="G24" s="63" t="n">
        <v>-0.2</v>
      </c>
      <c r="H24" s="63" t="n">
        <v>-0.3</v>
      </c>
      <c r="I24" s="63" t="n">
        <v>-0.2</v>
      </c>
      <c r="J24" s="63" t="n"/>
      <c r="K24" s="63" t="n"/>
      <c r="L24" s="64">
        <f>IF(COUNT(G24:K24)=0,"",MEDIAN(G24:K24))</f>
        <v/>
      </c>
      <c r="M24" s="65">
        <f>IF(COUNT(G24:K24)=0,"",MIN(G24:K24))</f>
        <v/>
      </c>
      <c r="N24" s="65">
        <f>IF(COUNT(G24:K24)=0,"",MAX(G24:K24))</f>
        <v/>
      </c>
      <c r="O24" s="45">
        <f>IF(COUNT(G24:K24)&lt;2,"",IF(L24=0,"",(N24-M24)/L24))</f>
        <v/>
      </c>
      <c r="P24" s="5" t="inlineStr">
        <is>
          <t>SKIN over 10 min, not scaled | SKIN over 2 min, not scaled</t>
        </is>
      </c>
    </row>
    <row r="25">
      <c r="A25" s="6" t="inlineStr">
        <is>
          <t>C3</t>
        </is>
      </c>
      <c r="B25" s="6" t="inlineStr">
        <is>
          <t>Device temperature rise – session on Watchlist tab &gt; Bench 20</t>
        </is>
      </c>
      <c r="C25" s="6" t="inlineStr">
        <is>
          <t>°C</t>
        </is>
      </c>
      <c r="D25" s="6" t="inlineStr">
        <is>
          <t>SAHI</t>
        </is>
      </c>
      <c r="E25" s="6" t="inlineStr">
        <is>
          <t>OPPO CPH3009</t>
        </is>
      </c>
      <c r="F25" s="41">
        <f>A25&amp;"|"&amp;D25&amp;"|"&amp;E25</f>
        <v/>
      </c>
      <c r="G25" s="63" t="n">
        <v>-0.1</v>
      </c>
      <c r="H25" s="63" t="n">
        <v>-0.5</v>
      </c>
      <c r="I25" s="63" t="n">
        <v>-0.3</v>
      </c>
      <c r="J25" s="63" t="n"/>
      <c r="K25" s="63" t="n"/>
      <c r="L25" s="64">
        <f>IF(COUNT(G25:K25)=0,"",MEDIAN(G25:K25))</f>
        <v/>
      </c>
      <c r="M25" s="65">
        <f>IF(COUNT(G25:K25)=0,"",MIN(G25:K25))</f>
        <v/>
      </c>
      <c r="N25" s="65">
        <f>IF(COUNT(G25:K25)=0,"",MAX(G25:K25))</f>
        <v/>
      </c>
      <c r="O25" s="45">
        <f>IF(COUNT(G25:K25)&lt;2,"",IF(L25=0,"",(N25-M25)/L25))</f>
        <v/>
      </c>
      <c r="P25" s="5" t="inlineStr">
        <is>
          <t>SKIN over 10 min, not scaled | SKIN over 2 min, not scaled</t>
        </is>
      </c>
    </row>
    <row r="26">
      <c r="A26" s="8" t="inlineStr">
        <is>
          <t>C4</t>
        </is>
      </c>
      <c r="B26" s="8" t="inlineStr">
        <is>
          <t>Data used – 15 min on Watchlist tab &gt; Bench 20</t>
        </is>
      </c>
      <c r="C26" s="8" t="inlineStr">
        <is>
          <t>MB</t>
        </is>
      </c>
      <c r="D26" s="8" t="inlineStr">
        <is>
          <t>RISE</t>
        </is>
      </c>
      <c r="E26" s="8" t="inlineStr">
        <is>
          <t>OPPO CPH3009</t>
        </is>
      </c>
      <c r="F26" s="41">
        <f>A26&amp;"|"&amp;D26&amp;"|"&amp;E26</f>
        <v/>
      </c>
      <c r="G26" s="63" t="n">
        <v>5</v>
      </c>
      <c r="H26" s="63" t="n">
        <v>2.43</v>
      </c>
      <c r="I26" s="63" t="n">
        <v>2.38</v>
      </c>
      <c r="J26" s="63" t="n"/>
      <c r="K26" s="63" t="n"/>
      <c r="L26" s="64">
        <f>IF(COUNT(G26:K26)=0,"",MEDIAN(G26:K26))</f>
        <v/>
      </c>
      <c r="M26" s="65">
        <f>IF(COUNT(G26:K26)=0,"",MIN(G26:K26))</f>
        <v/>
      </c>
      <c r="N26" s="65">
        <f>IF(COUNT(G26:K26)=0,"",MAX(G26:K26))</f>
        <v/>
      </c>
      <c r="O26" s="45">
        <f>IF(COUNT(G26:K26)&lt;2,"",IF(L26=0,"",(N26-M26)/L26))</f>
        <v/>
      </c>
      <c r="P26" s="5" t="inlineStr">
        <is>
          <t>scaled ×1.50 from 10 min | scaled ×7.50 from 2 min</t>
        </is>
      </c>
    </row>
    <row r="27">
      <c r="A27" s="46" t="inlineStr">
        <is>
          <t>C4</t>
        </is>
      </c>
      <c r="B27" s="46" t="inlineStr">
        <is>
          <t>Data used – 15 min on Watchlist tab &gt; Bench 20</t>
        </is>
      </c>
      <c r="C27" s="46" t="inlineStr">
        <is>
          <t>MB</t>
        </is>
      </c>
      <c r="D27" s="46" t="inlineStr">
        <is>
          <t>Kite</t>
        </is>
      </c>
      <c r="E27" s="46" t="inlineStr">
        <is>
          <t>OPPO CPH3009</t>
        </is>
      </c>
      <c r="F27" s="41">
        <f>A27&amp;"|"&amp;D27&amp;"|"&amp;E27</f>
        <v/>
      </c>
      <c r="G27" s="63" t="n">
        <v>0.79</v>
      </c>
      <c r="H27" s="63" t="n">
        <v>0.77</v>
      </c>
      <c r="I27" s="63" t="n">
        <v>0.83</v>
      </c>
      <c r="J27" s="63" t="n"/>
      <c r="K27" s="63" t="n"/>
      <c r="L27" s="64">
        <f>IF(COUNT(G27:K27)=0,"",MEDIAN(G27:K27))</f>
        <v/>
      </c>
      <c r="M27" s="65">
        <f>IF(COUNT(G27:K27)=0,"",MIN(G27:K27))</f>
        <v/>
      </c>
      <c r="N27" s="65">
        <f>IF(COUNT(G27:K27)=0,"",MAX(G27:K27))</f>
        <v/>
      </c>
      <c r="O27" s="45">
        <f>IF(COUNT(G27:K27)&lt;2,"",IF(L27=0,"",(N27-M27)/L27))</f>
        <v/>
      </c>
      <c r="P27" s="5" t="inlineStr">
        <is>
          <t>scaled ×1.50 from 10 min | scaled ×7.50 from 2 min</t>
        </is>
      </c>
    </row>
    <row r="28">
      <c r="A28" s="46" t="inlineStr">
        <is>
          <t>C4</t>
        </is>
      </c>
      <c r="B28" s="46" t="inlineStr">
        <is>
          <t>Data used – 15 min on Watchlist tab &gt; Bench 20</t>
        </is>
      </c>
      <c r="C28" s="46" t="inlineStr">
        <is>
          <t>MB</t>
        </is>
      </c>
      <c r="D28" s="46" t="inlineStr">
        <is>
          <t>Groww</t>
        </is>
      </c>
      <c r="E28" s="46" t="inlineStr">
        <is>
          <t>OPPO CPH3009</t>
        </is>
      </c>
      <c r="F28" s="41">
        <f>A28&amp;"|"&amp;D28&amp;"|"&amp;E28</f>
        <v/>
      </c>
      <c r="G28" s="63" t="n">
        <v>2.86</v>
      </c>
      <c r="H28" s="63" t="n">
        <v>3.09</v>
      </c>
      <c r="I28" s="63" t="n">
        <v>2.73</v>
      </c>
      <c r="J28" s="63" t="n"/>
      <c r="K28" s="63" t="n"/>
      <c r="L28" s="64">
        <f>IF(COUNT(G28:K28)=0,"",MEDIAN(G28:K28))</f>
        <v/>
      </c>
      <c r="M28" s="65">
        <f>IF(COUNT(G28:K28)=0,"",MIN(G28:K28))</f>
        <v/>
      </c>
      <c r="N28" s="65">
        <f>IF(COUNT(G28:K28)=0,"",MAX(G28:K28))</f>
        <v/>
      </c>
      <c r="O28" s="45">
        <f>IF(COUNT(G28:K28)&lt;2,"",IF(L28=0,"",(N28-M28)/L28))</f>
        <v/>
      </c>
      <c r="P28" s="5" t="inlineStr">
        <is>
          <t>scaled ×1.50 from 10 min | scaled ×7.50 from 2 min</t>
        </is>
      </c>
    </row>
    <row r="29">
      <c r="A29" s="46" t="inlineStr">
        <is>
          <t>C4</t>
        </is>
      </c>
      <c r="B29" s="46" t="inlineStr">
        <is>
          <t>Data used – 15 min on Watchlist tab &gt; Bench 20</t>
        </is>
      </c>
      <c r="C29" s="46" t="inlineStr">
        <is>
          <t>MB</t>
        </is>
      </c>
      <c r="D29" s="46" t="inlineStr">
        <is>
          <t>Angel One</t>
        </is>
      </c>
      <c r="E29" s="46" t="inlineStr">
        <is>
          <t>OPPO CPH3009</t>
        </is>
      </c>
      <c r="F29" s="41">
        <f>A29&amp;"|"&amp;D29&amp;"|"&amp;E29</f>
        <v/>
      </c>
      <c r="G29" s="63" t="n">
        <v>3.02</v>
      </c>
      <c r="H29" s="63" t="n">
        <v>3.1</v>
      </c>
      <c r="I29" s="63" t="n">
        <v>3.41</v>
      </c>
      <c r="J29" s="63" t="n"/>
      <c r="K29" s="63" t="n"/>
      <c r="L29" s="64">
        <f>IF(COUNT(G29:K29)=0,"",MEDIAN(G29:K29))</f>
        <v/>
      </c>
      <c r="M29" s="65">
        <f>IF(COUNT(G29:K29)=0,"",MIN(G29:K29))</f>
        <v/>
      </c>
      <c r="N29" s="65">
        <f>IF(COUNT(G29:K29)=0,"",MAX(G29:K29))</f>
        <v/>
      </c>
      <c r="O29" s="45">
        <f>IF(COUNT(G29:K29)&lt;2,"",IF(L29=0,"",(N29-M29)/L29))</f>
        <v/>
      </c>
      <c r="P29" s="5" t="inlineStr">
        <is>
          <t>scaled ×1.50 from 10 min | scaled ×7.50 from 2 min</t>
        </is>
      </c>
    </row>
    <row r="30">
      <c r="A30" s="46" t="inlineStr">
        <is>
          <t>C4</t>
        </is>
      </c>
      <c r="B30" s="46" t="inlineStr">
        <is>
          <t>Data used – 15 min on Watchlist tab &gt; Bench 20</t>
        </is>
      </c>
      <c r="C30" s="46" t="inlineStr">
        <is>
          <t>MB</t>
        </is>
      </c>
      <c r="D30" s="46" t="inlineStr">
        <is>
          <t>INDmoney</t>
        </is>
      </c>
      <c r="E30" s="46" t="inlineStr">
        <is>
          <t>OPPO CPH3009</t>
        </is>
      </c>
      <c r="F30" s="41">
        <f>A30&amp;"|"&amp;D30&amp;"|"&amp;E30</f>
        <v/>
      </c>
      <c r="G30" s="63" t="n">
        <v>5.06</v>
      </c>
      <c r="H30" s="63" t="n">
        <v>3.77</v>
      </c>
      <c r="I30" s="63" t="n">
        <v>4.13</v>
      </c>
      <c r="J30" s="63" t="n"/>
      <c r="K30" s="63" t="n"/>
      <c r="L30" s="64">
        <f>IF(COUNT(G30:K30)=0,"",MEDIAN(G30:K30))</f>
        <v/>
      </c>
      <c r="M30" s="65">
        <f>IF(COUNT(G30:K30)=0,"",MIN(G30:K30))</f>
        <v/>
      </c>
      <c r="N30" s="65">
        <f>IF(COUNT(G30:K30)=0,"",MAX(G30:K30))</f>
        <v/>
      </c>
      <c r="O30" s="45">
        <f>IF(COUNT(G30:K30)&lt;2,"",IF(L30=0,"",(N30-M30)/L30))</f>
        <v/>
      </c>
      <c r="P30" s="5" t="inlineStr">
        <is>
          <t>scaled ×1.50 from 10 min | scaled ×7.50 from 2 min</t>
        </is>
      </c>
    </row>
    <row r="31">
      <c r="A31" s="46" t="inlineStr">
        <is>
          <t>C4</t>
        </is>
      </c>
      <c r="B31" s="46" t="inlineStr">
        <is>
          <t>Data used – 15 min on Watchlist tab &gt; Bench 20</t>
        </is>
      </c>
      <c r="C31" s="46" t="inlineStr">
        <is>
          <t>MB</t>
        </is>
      </c>
      <c r="D31" s="46" t="inlineStr">
        <is>
          <t>Kotak Neo</t>
        </is>
      </c>
      <c r="E31" s="46" t="inlineStr">
        <is>
          <t>OPPO CPH3009</t>
        </is>
      </c>
      <c r="F31" s="41">
        <f>A31&amp;"|"&amp;D31&amp;"|"&amp;E31</f>
        <v/>
      </c>
      <c r="G31" s="63" t="n">
        <v>4.17</v>
      </c>
      <c r="H31" s="63" t="n">
        <v>2.14</v>
      </c>
      <c r="I31" s="63" t="n">
        <v>2.19</v>
      </c>
      <c r="J31" s="63" t="n"/>
      <c r="K31" s="63" t="n"/>
      <c r="L31" s="64">
        <f>IF(COUNT(G31:K31)=0,"",MEDIAN(G31:K31))</f>
        <v/>
      </c>
      <c r="M31" s="65">
        <f>IF(COUNT(G31:K31)=0,"",MIN(G31:K31))</f>
        <v/>
      </c>
      <c r="N31" s="65">
        <f>IF(COUNT(G31:K31)=0,"",MAX(G31:K31))</f>
        <v/>
      </c>
      <c r="O31" s="45">
        <f>IF(COUNT(G31:K31)&lt;2,"",IF(L31=0,"",(N31-M31)/L31))</f>
        <v/>
      </c>
      <c r="P31" s="5" t="inlineStr">
        <is>
          <t>scaled ×1.50 from 10 min | scaled ×7.50 from 2 min</t>
        </is>
      </c>
    </row>
    <row r="32">
      <c r="A32" s="46" t="inlineStr">
        <is>
          <t>C4</t>
        </is>
      </c>
      <c r="B32" s="46" t="inlineStr">
        <is>
          <t>Data used – 15 min on Watchlist tab &gt; Bench 20</t>
        </is>
      </c>
      <c r="C32" s="46" t="inlineStr">
        <is>
          <t>MB</t>
        </is>
      </c>
      <c r="D32" s="46" t="inlineStr">
        <is>
          <t>SAHI</t>
        </is>
      </c>
      <c r="E32" s="46" t="inlineStr">
        <is>
          <t>OPPO CPH3009</t>
        </is>
      </c>
      <c r="F32" s="41">
        <f>A32&amp;"|"&amp;D32&amp;"|"&amp;E32</f>
        <v/>
      </c>
      <c r="G32" s="63" t="n">
        <v>6.82</v>
      </c>
      <c r="H32" s="63" t="n">
        <v>6.61</v>
      </c>
      <c r="I32" s="63" t="n">
        <v>6.9</v>
      </c>
      <c r="J32" s="63" t="n"/>
      <c r="K32" s="63" t="n"/>
      <c r="L32" s="64">
        <f>IF(COUNT(G32:K32)=0,"",MEDIAN(G32:K32))</f>
        <v/>
      </c>
      <c r="M32" s="65">
        <f>IF(COUNT(G32:K32)=0,"",MIN(G32:K32))</f>
        <v/>
      </c>
      <c r="N32" s="65">
        <f>IF(COUNT(G32:K32)=0,"",MAX(G32:K32))</f>
        <v/>
      </c>
      <c r="O32" s="45">
        <f>IF(COUNT(G32:K32)&lt;2,"",IF(L32=0,"",(N32-M32)/L32))</f>
        <v/>
      </c>
      <c r="P32" s="5" t="inlineStr">
        <is>
          <t>scaled ×1.50 from 10 min | scaled ×7.50 from 2 min</t>
        </is>
      </c>
    </row>
  </sheetData>
  <autoFilter ref="A4:P32"/>
  <conditionalFormatting sqref="O5:O32">
    <cfRule type="cellIs" priority="1" operator="greaterThan" dxfId="4">
      <formula>0.2</formula>
    </cfRule>
  </conditionalFormatting>
  <dataValidations count="1">
    <dataValidation sqref="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showDropDown="0" showInputMessage="0" showErrorMessage="1" allowBlank="1" error="Enter a number (no units)." type="decimal" operator="greaterThanOrEqual">
      <formula1>0</formula1>
    </dataValidation>
  </dataValidations>
  <pageMargins left="0.75" right="0.75" top="1" bottom="1" header="0.5" footer="0.5"/>
</worksheet>
</file>

<file path=xl/worksheets/sheet14.xml><?xml version="1.0" encoding="utf-8"?>
<worksheet xmlns="http://schemas.openxmlformats.org/spreadsheetml/2006/main">
  <sheetPr>
    <tabColor rgb="00FFC000"/>
    <outlinePr summaryBelow="1" summaryRight="1"/>
    <pageSetUpPr/>
  </sheetPr>
  <dimension ref="A1:L13"/>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6" customWidth="1" min="2" max="2"/>
    <col width="13" customWidth="1" min="3" max="3"/>
    <col width="13" customWidth="1" min="4" max="4"/>
    <col width="20" customWidth="1" min="5" max="5"/>
    <col width="11" customWidth="1" min="6" max="6"/>
    <col width="13" customWidth="1" min="7" max="7"/>
    <col width="12" customWidth="1" min="8" max="8"/>
    <col width="12" customWidth="1" min="9" max="9"/>
    <col width="12" customWidth="1" min="10" max="10"/>
    <col width="12" customWidth="1" min="11" max="11"/>
    <col width="44" customWidth="1" min="12" max="12"/>
  </cols>
  <sheetData>
    <row r="1">
      <c r="A1" s="1" t="inlineStr">
        <is>
          <t>9 App Info &amp; Stability</t>
        </is>
      </c>
    </row>
    <row r="2">
      <c r="A2" s="2" t="inlineStr">
        <is>
          <t>App version under test, framework, Play Store data and stability during testing.</t>
        </is>
      </c>
    </row>
    <row r="4" ht="32" customHeight="1">
      <c r="A4" s="10" t="inlineStr">
        <is>
          <t>App</t>
        </is>
      </c>
      <c r="B4" s="10" t="inlineStr">
        <is>
          <t>Package name</t>
        </is>
      </c>
      <c r="C4" s="10" t="inlineStr">
        <is>
          <t>Version tested</t>
        </is>
      </c>
      <c r="D4" s="10" t="inlineStr">
        <is>
          <t>Date tested</t>
        </is>
      </c>
      <c r="E4" s="10" t="inlineStr">
        <is>
          <t>Framework</t>
        </is>
      </c>
      <c r="F4" s="10" t="inlineStr">
        <is>
          <t>Play Store rating</t>
        </is>
      </c>
      <c r="G4" s="10" t="inlineStr">
        <is>
          <t>Play Store downloads</t>
        </is>
      </c>
      <c r="H4" s="10" t="inlineStr">
        <is>
          <t>Download size (MB)</t>
        </is>
      </c>
      <c r="I4" s="10" t="inlineStr">
        <is>
          <t>Installed size (MB)</t>
        </is>
      </c>
      <c r="J4" s="10" t="inlineStr">
        <is>
          <t>Crashes during testing</t>
        </is>
      </c>
      <c r="K4" s="10" t="inlineStr">
        <is>
          <t>ANRs during testing</t>
        </is>
      </c>
      <c r="L4" s="10" t="inlineStr">
        <is>
          <t>Top performance complaints in recent reviews</t>
        </is>
      </c>
    </row>
    <row r="5">
      <c r="A5" s="50" t="inlineStr">
        <is>
          <t>RISE</t>
        </is>
      </c>
      <c r="B5" s="49" t="inlineStr">
        <is>
          <t>com.mosl.mobile</t>
        </is>
      </c>
      <c r="C5" s="49" t="inlineStr">
        <is>
          <t>6.2.09</t>
        </is>
      </c>
      <c r="D5" s="66" t="inlineStr">
        <is>
          <t>2026-10-23</t>
        </is>
      </c>
      <c r="E5" s="49" t="n"/>
      <c r="F5" s="67" t="n">
        <v>4</v>
      </c>
      <c r="G5" s="49" t="n"/>
      <c r="H5" s="68" t="n">
        <v>123.6</v>
      </c>
      <c r="I5" s="68" t="n"/>
      <c r="J5" s="55" t="n">
        <v>0</v>
      </c>
      <c r="K5" s="55" t="n">
        <v>0</v>
      </c>
      <c r="L5" s="49" t="n"/>
    </row>
    <row r="6">
      <c r="A6" s="27" t="inlineStr">
        <is>
          <t>Kite</t>
        </is>
      </c>
      <c r="B6" s="49" t="inlineStr">
        <is>
          <t>com.zerodha.kite3</t>
        </is>
      </c>
      <c r="C6" s="49" t="inlineStr">
        <is>
          <t>3.11.11</t>
        </is>
      </c>
      <c r="D6" s="66" t="inlineStr">
        <is>
          <t>2026-10-23</t>
        </is>
      </c>
      <c r="E6" s="49" t="n"/>
      <c r="F6" s="67" t="n">
        <v>4.4</v>
      </c>
      <c r="G6" s="49" t="n"/>
      <c r="H6" s="68" t="n">
        <v>17.3</v>
      </c>
      <c r="I6" s="68" t="n"/>
      <c r="J6" s="55" t="n">
        <v>0</v>
      </c>
      <c r="K6" s="55" t="n">
        <v>0</v>
      </c>
      <c r="L6" s="49" t="n"/>
    </row>
    <row r="7">
      <c r="A7" s="27" t="inlineStr">
        <is>
          <t>Groww</t>
        </is>
      </c>
      <c r="B7" s="49" t="inlineStr">
        <is>
          <t>com.nextbillion.groww</t>
        </is>
      </c>
      <c r="C7" s="49" t="inlineStr">
        <is>
          <t>18.21.1</t>
        </is>
      </c>
      <c r="D7" s="66" t="inlineStr">
        <is>
          <t>2026-10-23</t>
        </is>
      </c>
      <c r="E7" s="49" t="n"/>
      <c r="F7" s="67" t="n">
        <v>4.8</v>
      </c>
      <c r="G7" s="49" t="n"/>
      <c r="H7" s="68" t="n">
        <v>93.90000000000001</v>
      </c>
      <c r="I7" s="68" t="n"/>
      <c r="J7" s="55" t="n">
        <v>0</v>
      </c>
      <c r="K7" s="55" t="n">
        <v>0</v>
      </c>
      <c r="L7" s="49" t="n"/>
    </row>
    <row r="8">
      <c r="A8" s="27" t="inlineStr">
        <is>
          <t>Angel One</t>
        </is>
      </c>
      <c r="B8" s="49" t="inlineStr">
        <is>
          <t>com.msf.angelmobile</t>
        </is>
      </c>
      <c r="C8" s="49" t="inlineStr">
        <is>
          <t>126.10.0</t>
        </is>
      </c>
      <c r="D8" s="66" t="inlineStr">
        <is>
          <t>2026-10-23</t>
        </is>
      </c>
      <c r="E8" s="49" t="n"/>
      <c r="F8" s="67" t="n">
        <v>4.4</v>
      </c>
      <c r="G8" s="49" t="n"/>
      <c r="H8" s="68" t="n">
        <v>97.8</v>
      </c>
      <c r="I8" s="68" t="n"/>
      <c r="J8" s="55" t="n">
        <v>0</v>
      </c>
      <c r="K8" s="55" t="n">
        <v>0</v>
      </c>
      <c r="L8" s="49" t="n"/>
    </row>
    <row r="9">
      <c r="A9" s="27" t="inlineStr">
        <is>
          <t>INDmoney</t>
        </is>
      </c>
      <c r="B9" s="49" t="inlineStr">
        <is>
          <t>in.indwealth</t>
        </is>
      </c>
      <c r="C9" s="49" t="inlineStr">
        <is>
          <t>9.9.86</t>
        </is>
      </c>
      <c r="D9" s="66" t="inlineStr">
        <is>
          <t>2026-10-23</t>
        </is>
      </c>
      <c r="E9" s="49" t="n"/>
      <c r="F9" s="67" t="n">
        <v>4.6</v>
      </c>
      <c r="G9" s="49" t="n"/>
      <c r="H9" s="68" t="n">
        <v>99.5</v>
      </c>
      <c r="I9" s="68" t="n"/>
      <c r="J9" s="55" t="n">
        <v>0</v>
      </c>
      <c r="K9" s="55" t="n">
        <v>0</v>
      </c>
      <c r="L9" s="49" t="n"/>
    </row>
    <row r="10">
      <c r="A10" s="27" t="inlineStr">
        <is>
          <t>Kotak Neo</t>
        </is>
      </c>
      <c r="B10" s="49" t="inlineStr">
        <is>
          <t>com.kotak.neo</t>
        </is>
      </c>
      <c r="C10" s="49" t="inlineStr">
        <is>
          <t>2.2.86</t>
        </is>
      </c>
      <c r="D10" s="66" t="inlineStr">
        <is>
          <t>2026-10-23</t>
        </is>
      </c>
      <c r="E10" s="49" t="n"/>
      <c r="F10" s="67" t="n">
        <v>4.5</v>
      </c>
      <c r="G10" s="49" t="n"/>
      <c r="H10" s="68" t="n">
        <v>117.1</v>
      </c>
      <c r="I10" s="68" t="n"/>
      <c r="J10" s="55" t="n">
        <v>0</v>
      </c>
      <c r="K10" s="55" t="n">
        <v>0</v>
      </c>
      <c r="L10" s="49" t="n"/>
    </row>
    <row r="11">
      <c r="A11" s="27" t="inlineStr">
        <is>
          <t>SAHI</t>
        </is>
      </c>
      <c r="B11" s="49" t="inlineStr">
        <is>
          <t>com.aaritya.sahi_trade_app</t>
        </is>
      </c>
      <c r="C11" s="49" t="inlineStr">
        <is>
          <t>1.0</t>
        </is>
      </c>
      <c r="D11" s="66" t="inlineStr">
        <is>
          <t>2026-10-23</t>
        </is>
      </c>
      <c r="E11" s="49" t="n"/>
      <c r="F11" s="67" t="n">
        <v>4.5</v>
      </c>
      <c r="G11" s="49" t="n"/>
      <c r="H11" s="68" t="n">
        <v>81.2</v>
      </c>
      <c r="I11" s="68" t="n"/>
      <c r="J11" s="55" t="n">
        <v>0</v>
      </c>
      <c r="K11" s="55" t="n">
        <v>0</v>
      </c>
      <c r="L11" s="49" t="n"/>
    </row>
    <row r="13">
      <c r="A13" s="2" t="inlineStr">
        <is>
          <t>Perfetto FrameTimeline is used for the FPS metrics of every app. LibChecker shows the framework.</t>
        </is>
      </c>
    </row>
  </sheetData>
  <dataValidations count="1">
    <dataValidation sqref="E5 E6 E7 E8 E9 E10 E11" showDropDown="0" showInputMessage="0" showErrorMessage="0" allowBlank="1" type="list">
      <formula1>"Native (Kotlin/Java),Flutter,React Native,Hybrid / WebView,Unknown"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2026-10-23T09:29:50Z</dcterms:created>
  <dcterms:modified xmlns:dcterms="http://purl.org/dc/terms/" xmlns:xsi="http://www.w3.org/2001/XMLSchema-instance" xsi:type="dcterms:W3CDTF">2026-10-23T09:29:51Z</dcterms:modified>
</cp:coreProperties>
</file>